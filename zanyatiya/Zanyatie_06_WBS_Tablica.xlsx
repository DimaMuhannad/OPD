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Команда" sheetId="2" state="visible" r:id="rId2"/>
    <sheet name="WBS" sheetId="3" state="visible" r:id="rId3"/>
    <sheet name="Пример — умный горшок" sheetId="4" state="visible" r:id="rId4"/>
  </sheets>
  <definedNames>
    <definedName name="_xlnm.Print_Titles" localSheetId="2">'WBS'!$6:$6</definedName>
    <definedName name="_xlnm.Print_Area" localSheetId="2">'WBS'!$A$1:$J$66</definedName>
    <definedName name="_xlnm.Print_Titles" localSheetId="3">'Пример — умный горшок'!$6:$6</definedName>
    <definedName name="_xlnm.Print_Area" localSheetId="3">'Пример — умный горшок'!$A$1:$J$66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5AAA"/>
      <sz val="16"/>
    </font>
    <font>
      <name val="Arial"/>
      <color rgb="00002C5F"/>
      <sz val="11"/>
    </font>
    <font>
      <name val="Arial"/>
      <b val="1"/>
      <color rgb="00005AAA"/>
      <sz val="12"/>
    </font>
    <font>
      <name val="Arial"/>
      <b val="1"/>
      <color rgb="00005AAA"/>
      <sz val="14"/>
    </font>
    <font>
      <name val="Arial"/>
      <i val="1"/>
      <color rgb="007F8C9A"/>
      <sz val="9"/>
    </font>
    <font>
      <name val="Arial"/>
      <b val="1"/>
      <color rgb="00002C5F"/>
      <sz val="9"/>
    </font>
    <font>
      <name val="Arial"/>
      <color rgb="00002C5F"/>
      <sz val="10"/>
    </font>
    <font>
      <name val="Arial"/>
      <b val="1"/>
      <color rgb="00002C5F"/>
      <sz val="10"/>
    </font>
    <font>
      <name val="Arial"/>
      <color rgb="007F8C9A"/>
      <sz val="9"/>
    </font>
    <font>
      <name val="Arial"/>
      <color rgb="007F8C9A"/>
      <sz val="10"/>
    </font>
  </fonts>
  <fills count="4">
    <fill>
      <patternFill/>
    </fill>
    <fill>
      <patternFill patternType="gray125"/>
    </fill>
    <fill>
      <patternFill patternType="solid">
        <fgColor rgb="00D9E6F3"/>
        <bgColor rgb="00D9E6F3"/>
      </patternFill>
    </fill>
    <fill>
      <patternFill patternType="solid">
        <fgColor rgb="00F4F6F8"/>
        <bgColor rgb="00F4F6F8"/>
      </patternFill>
    </fill>
  </fills>
  <borders count="3">
    <border>
      <left/>
      <right/>
      <top/>
      <bottom/>
      <diagonal/>
    </border>
    <border>
      <left style="thin">
        <color rgb="00B3B3B3"/>
      </left>
      <right style="thin">
        <color rgb="00B3B3B3"/>
      </right>
      <top style="thin">
        <color rgb="00B3B3B3"/>
      </top>
      <bottom style="thin">
        <color rgb="00B3B3B3"/>
      </bottom>
    </border>
    <border>
      <bottom style="thin">
        <color rgb="00002C5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2" fillId="0" borderId="2" pivotButton="0" quotePrefix="0" xfId="0"/>
    <xf numFmtId="0" fontId="9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49" fontId="7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2C5F"/>
      </font>
      <fill>
        <patternFill patternType="solid">
          <fgColor rgb="00E6EFF8"/>
          <bgColor rgb="00E6EFF8"/>
        </patternFill>
      </fill>
    </dxf>
    <dxf>
      <font>
        <b val="1"/>
        <color rgb="00E70F47"/>
      </font>
    </dxf>
    <dxf>
      <font>
        <b val="1"/>
        <color rgb="00009A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B1" s="1" t="inlineStr">
        <is>
          <t>Иерархическая структура работ (WBS) — таблица</t>
        </is>
      </c>
    </row>
    <row r="2" ht="30" customHeight="1">
      <c r="B2" s="2" t="inlineStr">
        <is>
          <t>Таблица повторяет оборот бланка WBS. Можно работать на бумаге, можно здесь — на следующую пару принесите лист или откройте файл: из пакетов будем строить диаграмму Ганта.</t>
        </is>
      </c>
    </row>
    <row r="4">
      <c r="B4" s="3" t="inlineStr">
        <is>
          <t>Как заполнять</t>
        </is>
      </c>
    </row>
    <row r="5" ht="30" customHeight="1">
      <c r="B5" s="2" t="inlineStr">
        <is>
          <t>1. Лист «Команда»: впишите участников и их роли. В списке — четыре роли с первого занятия; если команда придумала свои роли, впишите их вручную.</t>
        </is>
      </c>
    </row>
    <row r="6" ht="16" customHeight="1">
      <c r="B6" s="2" t="inlineStr">
        <is>
          <t>2. Лист «WBS», строка «Проект»: название и главный результат из паспорта.</t>
        </is>
      </c>
    </row>
    <row r="7" ht="30" customHeight="1">
      <c r="B7" s="2" t="inlineStr">
        <is>
          <t>3. Крупные результаты — коды 1, 2, 3… Возьмите выбранные ветви дерева целей. Добавьте «Отчёт и защита» и «Управление проектом»: эту работу всё равно придётся сделать.</t>
        </is>
      </c>
    </row>
    <row r="8" ht="30" customHeight="1">
      <c r="B8" s="2" t="inlineStr">
        <is>
          <t>4. Пакеты работ — коды 1.1, 1.2, 2.1… Каждый пакет пишите строкой сразу под своим результатом. Называйте существительным: «протокол испытаний», а не «испытать».</t>
        </is>
      </c>
    </row>
    <row r="9" ht="30" customHeight="1">
      <c r="B9" s="2" t="inlineStr">
        <is>
          <t>5. Для каждого пакета: что предъявляем, один ответственный (из списка), длительность и единица — недель или дней.</t>
        </is>
      </c>
    </row>
    <row r="10" ht="30" customHeight="1">
      <c r="B10" s="2" t="inlineStr">
        <is>
          <t>6. Уровень, тип и столбец «Проверка» заполняются сами. Красное — что ещё поправить, зелёная галочка — готово.</t>
        </is>
      </c>
    </row>
    <row r="11" ht="16" customHeight="1">
      <c r="B11" s="2" t="inlineStr">
        <is>
          <t>7. «Зависит от» оставьте пустым — заполним на следующей паре.</t>
        </is>
      </c>
    </row>
    <row r="13">
      <c r="B13" s="3" t="inlineStr">
        <is>
          <t>Проверьте себя</t>
        </is>
      </c>
    </row>
    <row r="14" ht="16" customHeight="1">
      <c r="B14" s="2" t="inlineStr">
        <is>
          <t>1. Все выбранные ветви дерева целей есть в WBS, а того, что записано в границах, нет?</t>
        </is>
      </c>
    </row>
    <row r="15" ht="16" customHeight="1">
      <c r="B15" s="2" t="inlineStr">
        <is>
          <t>2. Есть отчёт с защитой и управление проектом?</t>
        </is>
      </c>
    </row>
    <row r="16" ht="16" customHeight="1">
      <c r="B16" s="2" t="inlineStr">
        <is>
          <t>3. Каждый элемент — результат, который можно предъявить, а не действие?</t>
        </is>
      </c>
    </row>
    <row r="17" ht="16" customHeight="1">
      <c r="B17" s="2" t="inlineStr">
        <is>
          <t>4. Каждый пакет можно поручить одному человеку?</t>
        </is>
      </c>
    </row>
    <row r="19">
      <c r="B19" s="3" t="inlineStr">
        <is>
          <t>Подсказки</t>
        </is>
      </c>
    </row>
    <row r="20" ht="30" customHeight="1">
      <c r="B20" s="2" t="inlineStr">
        <is>
          <t>Пакет делается одним человеком за срок от нескольких вечеров до двух недель. Больше — дробите, меньше часа — объедините с соседним.</t>
        </is>
      </c>
    </row>
    <row r="21" ht="16" customHeight="1">
      <c r="B21" s="2" t="inlineStr">
        <is>
          <t>Оценивайте честно: если раньше никто в команде так не делал, срок больше, чем кажется.</t>
        </is>
      </c>
    </row>
    <row r="22" ht="16" customHeight="1">
      <c r="B22" s="2" t="inlineStr">
        <is>
          <t>Дат и порядка работ в WBS нет: WBS отвечает на вопрос «что», календарный план — «когда».</t>
        </is>
      </c>
    </row>
    <row r="23" ht="16" customHeight="1">
      <c r="B23" s="2" t="inlineStr">
        <is>
          <t>Образец — на листе «Пример — умный горшок».</t>
        </is>
      </c>
    </row>
  </sheetData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</cols>
  <sheetData>
    <row r="1">
      <c r="A1" s="4" t="inlineStr">
        <is>
          <t>Команда и нагрузка</t>
        </is>
      </c>
    </row>
    <row r="2" ht="30" customHeight="1">
      <c r="A2" s="5" t="inlineStr">
        <is>
          <t>Впишите участников. Их имена появятся в выпадающем списке «Ответственный» на листе WBS. Справа видно, сколько пакетов и недель работы досталось каждому.</t>
        </is>
      </c>
    </row>
    <row r="4">
      <c r="A4" s="6" t="inlineStr">
        <is>
          <t>Участник (имя и фамилия)</t>
        </is>
      </c>
      <c r="B4" s="6" t="inlineStr">
        <is>
          <t>Роль в команде: из списка или своя</t>
        </is>
      </c>
      <c r="C4" s="6" t="inlineStr">
        <is>
          <t>Пакетов</t>
        </is>
      </c>
      <c r="D4" s="6" t="inlineStr">
        <is>
          <t>Недель работы</t>
        </is>
      </c>
    </row>
    <row r="5">
      <c r="A5" s="7" t="n"/>
      <c r="B5" s="7" t="n"/>
      <c r="C5" s="8">
        <f>IF(A5="","",COUNTIF(WBS!$F$7:$F$66,A5))</f>
        <v/>
      </c>
      <c r="D5" s="8">
        <f>IF(A5="","",ROUND(SUMIF(WBS!$F$7:$F$66,A5,WBS!$K$7:$K$66),1))</f>
        <v/>
      </c>
    </row>
    <row r="6">
      <c r="A6" s="7" t="n"/>
      <c r="B6" s="7" t="n"/>
      <c r="C6" s="8">
        <f>IF(A6="","",COUNTIF(WBS!$F$7:$F$66,A6))</f>
        <v/>
      </c>
      <c r="D6" s="8">
        <f>IF(A6="","",ROUND(SUMIF(WBS!$F$7:$F$66,A6,WBS!$K$7:$K$66),1))</f>
        <v/>
      </c>
    </row>
    <row r="7">
      <c r="A7" s="7" t="n"/>
      <c r="B7" s="7" t="n"/>
      <c r="C7" s="8">
        <f>IF(A7="","",COUNTIF(WBS!$F$7:$F$66,A7))</f>
        <v/>
      </c>
      <c r="D7" s="8">
        <f>IF(A7="","",ROUND(SUMIF(WBS!$F$7:$F$66,A7,WBS!$K$7:$K$66),1))</f>
        <v/>
      </c>
    </row>
    <row r="8">
      <c r="A8" s="7" t="n"/>
      <c r="B8" s="7" t="n"/>
      <c r="C8" s="8">
        <f>IF(A8="","",COUNTIF(WBS!$F$7:$F$66,A8))</f>
        <v/>
      </c>
      <c r="D8" s="8">
        <f>IF(A8="","",ROUND(SUMIF(WBS!$F$7:$F$66,A8,WBS!$K$7:$K$66),1))</f>
        <v/>
      </c>
    </row>
    <row r="9">
      <c r="A9" s="7" t="n"/>
      <c r="B9" s="7" t="n"/>
      <c r="C9" s="8">
        <f>IF(A9="","",COUNTIF(WBS!$F$7:$F$66,A9))</f>
        <v/>
      </c>
      <c r="D9" s="8">
        <f>IF(A9="","",ROUND(SUMIF(WBS!$F$7:$F$66,A9,WBS!$K$7:$K$66),1))</f>
        <v/>
      </c>
    </row>
    <row r="10">
      <c r="A10" s="7" t="n"/>
      <c r="B10" s="7" t="n"/>
      <c r="C10" s="8">
        <f>IF(A10="","",COUNTIF(WBS!$F$7:$F$66,A10))</f>
        <v/>
      </c>
      <c r="D10" s="8">
        <f>IF(A10="","",ROUND(SUMIF(WBS!$F$7:$F$66,A10,WBS!$K$7:$K$66),1))</f>
        <v/>
      </c>
    </row>
    <row r="12" ht="30" customHeight="1">
      <c r="A12" s="5" t="inlineStr">
        <is>
          <t>Если у одного человека намного больше недель, чем у других, перераспределите пакеты сейчас, до диаграммы Ганта.</t>
        </is>
      </c>
    </row>
  </sheetData>
  <mergeCells count="2">
    <mergeCell ref="A12:D12"/>
    <mergeCell ref="A2:D2"/>
  </mergeCells>
  <dataValidations count="1">
    <dataValidation sqref="B5 B6 B7 B8 B9 B10" showDropDown="0" showInputMessage="0" showErrorMessage="0" allowBlank="1" type="list">
      <formula1>"лидер,аналитик,технический эксперт,коммуникатор"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5AA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WBS проекта</t>
        </is>
      </c>
    </row>
    <row r="2">
      <c r="A2" s="9" t="inlineStr">
        <is>
          <t>Проект:</t>
        </is>
      </c>
      <c r="B2" s="10" t="n"/>
    </row>
    <row r="3">
      <c r="A3" s="11" t="inlineStr">
        <is>
          <t>Результатов</t>
        </is>
      </c>
      <c r="C3" s="11" t="inlineStr">
        <is>
          <t>Пакетов работ</t>
        </is>
      </c>
      <c r="D3" s="11" t="inlineStr">
        <is>
          <t>Замечаний</t>
        </is>
      </c>
      <c r="E3" s="11" t="inlineStr">
        <is>
          <t>«Отчёт и защита»</t>
        </is>
      </c>
      <c r="F3" s="11" t="inlineStr">
        <is>
          <t>«Управление проектом»</t>
        </is>
      </c>
      <c r="G3" s="11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2">
        <f>COUNTIFS($B$7:$B$66,1)</f>
        <v/>
      </c>
      <c r="C4" s="12">
        <f>COUNTIF($D$7:$D$66,"пакет работ")</f>
        <v/>
      </c>
      <c r="D4" s="12">
        <f>COUNTIF($J$7:$J$66,"?*")-COUNTIF($J$7:$J$66,"✓")</f>
        <v/>
      </c>
      <c r="E4" s="12">
        <f>IF(COUNTIFS($B$7:$B$66,1,$C$7:$C$66,"*отч*")&gt;0,"✓ есть","добавьте")</f>
        <v/>
      </c>
      <c r="F4" s="12">
        <f>IF(COUNTIFS($B$7:$B$66,1,$C$7:$C$66,"*управл*")&gt;0,"✓ есть","добавьте")</f>
        <v/>
      </c>
      <c r="G4" s="12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3" t="n"/>
      <c r="B7" s="14">
        <f>IF(A7="","",LEN(A7)-LEN(SUBSTITUTE(A7,".",""))+1)</f>
        <v/>
      </c>
      <c r="C7" s="7" t="n"/>
      <c r="D7" s="14">
        <f>IF(A7="","",IF(OR(B7=1,COUNTIF($A$7:$A$66,A7&amp;".*")&gt;0),"результат","пакет работ"))</f>
        <v/>
      </c>
      <c r="E7" s="7" t="n"/>
      <c r="F7" s="7" t="n"/>
      <c r="G7" s="8" t="n"/>
      <c r="H7" s="8" t="n"/>
      <c r="I7" s="15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работ",ISNUMBER(G7)),G7*IF(LEFT(LOWER(H7),1)="д",1/7,1),0)</f>
        <v/>
      </c>
    </row>
    <row r="8">
      <c r="A8" s="13" t="n"/>
      <c r="B8" s="14">
        <f>IF(A8="","",LEN(A8)-LEN(SUBSTITUTE(A8,".",""))+1)</f>
        <v/>
      </c>
      <c r="C8" s="7" t="n"/>
      <c r="D8" s="14">
        <f>IF(A8="","",IF(OR(B8=1,COUNTIF($A$7:$A$66,A8&amp;".*")&gt;0),"результат","пакет работ"))</f>
        <v/>
      </c>
      <c r="E8" s="7" t="n"/>
      <c r="F8" s="7" t="n"/>
      <c r="G8" s="8" t="n"/>
      <c r="H8" s="8" t="n"/>
      <c r="I8" s="15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работ",ISNUMBER(G8)),G8*IF(LEFT(LOWER(H8),1)="д",1/7,1),0)</f>
        <v/>
      </c>
    </row>
    <row r="9">
      <c r="A9" s="13" t="n"/>
      <c r="B9" s="14">
        <f>IF(A9="","",LEN(A9)-LEN(SUBSTITUTE(A9,".",""))+1)</f>
        <v/>
      </c>
      <c r="C9" s="7" t="n"/>
      <c r="D9" s="14">
        <f>IF(A9="","",IF(OR(B9=1,COUNTIF($A$7:$A$66,A9&amp;".*")&gt;0),"результат","пакет работ"))</f>
        <v/>
      </c>
      <c r="E9" s="7" t="n"/>
      <c r="F9" s="7" t="n"/>
      <c r="G9" s="8" t="n"/>
      <c r="H9" s="8" t="n"/>
      <c r="I9" s="15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работ",ISNUMBER(G9)),G9*IF(LEFT(LOWER(H9),1)="д",1/7,1),0)</f>
        <v/>
      </c>
    </row>
    <row r="10">
      <c r="A10" s="13" t="n"/>
      <c r="B10" s="14">
        <f>IF(A10="","",LEN(A10)-LEN(SUBSTITUTE(A10,".",""))+1)</f>
        <v/>
      </c>
      <c r="C10" s="7" t="n"/>
      <c r="D10" s="14">
        <f>IF(A10="","",IF(OR(B10=1,COUNTIF($A$7:$A$66,A10&amp;".*")&gt;0),"результат","пакет работ"))</f>
        <v/>
      </c>
      <c r="E10" s="7" t="n"/>
      <c r="F10" s="7" t="n"/>
      <c r="G10" s="8" t="n"/>
      <c r="H10" s="8" t="n"/>
      <c r="I10" s="15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работ",ISNUMBER(G10)),G10*IF(LEFT(LOWER(H10),1)="д",1/7,1),0)</f>
        <v/>
      </c>
    </row>
    <row r="11">
      <c r="A11" s="13" t="n"/>
      <c r="B11" s="14">
        <f>IF(A11="","",LEN(A11)-LEN(SUBSTITUTE(A11,".",""))+1)</f>
        <v/>
      </c>
      <c r="C11" s="7" t="n"/>
      <c r="D11" s="14">
        <f>IF(A11="","",IF(OR(B11=1,COUNTIF($A$7:$A$66,A11&amp;".*")&gt;0),"результат","пакет работ"))</f>
        <v/>
      </c>
      <c r="E11" s="7" t="n"/>
      <c r="F11" s="7" t="n"/>
      <c r="G11" s="8" t="n"/>
      <c r="H11" s="8" t="n"/>
      <c r="I11" s="15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работ",ISNUMBER(G11)),G11*IF(LEFT(LOWER(H11),1)="д",1/7,1),0)</f>
        <v/>
      </c>
    </row>
    <row r="12">
      <c r="A12" s="13" t="n"/>
      <c r="B12" s="14">
        <f>IF(A12="","",LEN(A12)-LEN(SUBSTITUTE(A12,".",""))+1)</f>
        <v/>
      </c>
      <c r="C12" s="7" t="n"/>
      <c r="D12" s="14">
        <f>IF(A12="","",IF(OR(B12=1,COUNTIF($A$7:$A$66,A12&amp;".*")&gt;0),"результат","пакет работ"))</f>
        <v/>
      </c>
      <c r="E12" s="7" t="n"/>
      <c r="F12" s="7" t="n"/>
      <c r="G12" s="8" t="n"/>
      <c r="H12" s="8" t="n"/>
      <c r="I12" s="15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работ",ISNUMBER(G12)),G12*IF(LEFT(LOWER(H12),1)="д",1/7,1),0)</f>
        <v/>
      </c>
    </row>
    <row r="13">
      <c r="A13" s="13" t="n"/>
      <c r="B13" s="14">
        <f>IF(A13="","",LEN(A13)-LEN(SUBSTITUTE(A13,".",""))+1)</f>
        <v/>
      </c>
      <c r="C13" s="7" t="n"/>
      <c r="D13" s="14">
        <f>IF(A13="","",IF(OR(B13=1,COUNTIF($A$7:$A$66,A13&amp;".*")&gt;0),"результат","пакет работ"))</f>
        <v/>
      </c>
      <c r="E13" s="7" t="n"/>
      <c r="F13" s="7" t="n"/>
      <c r="G13" s="8" t="n"/>
      <c r="H13" s="8" t="n"/>
      <c r="I13" s="15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работ",ISNUMBER(G13)),G13*IF(LEFT(LOWER(H13),1)="д",1/7,1),0)</f>
        <v/>
      </c>
    </row>
    <row r="14">
      <c r="A14" s="13" t="n"/>
      <c r="B14" s="14">
        <f>IF(A14="","",LEN(A14)-LEN(SUBSTITUTE(A14,".",""))+1)</f>
        <v/>
      </c>
      <c r="C14" s="7" t="n"/>
      <c r="D14" s="14">
        <f>IF(A14="","",IF(OR(B14=1,COUNTIF($A$7:$A$66,A14&amp;".*")&gt;0),"результат","пакет работ"))</f>
        <v/>
      </c>
      <c r="E14" s="7" t="n"/>
      <c r="F14" s="7" t="n"/>
      <c r="G14" s="8" t="n"/>
      <c r="H14" s="8" t="n"/>
      <c r="I14" s="15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работ",ISNUMBER(G14)),G14*IF(LEFT(LOWER(H14),1)="д",1/7,1),0)</f>
        <v/>
      </c>
    </row>
    <row r="15">
      <c r="A15" s="13" t="n"/>
      <c r="B15" s="14">
        <f>IF(A15="","",LEN(A15)-LEN(SUBSTITUTE(A15,".",""))+1)</f>
        <v/>
      </c>
      <c r="C15" s="7" t="n"/>
      <c r="D15" s="14">
        <f>IF(A15="","",IF(OR(B15=1,COUNTIF($A$7:$A$66,A15&amp;".*")&gt;0),"результат","пакет работ"))</f>
        <v/>
      </c>
      <c r="E15" s="7" t="n"/>
      <c r="F15" s="7" t="n"/>
      <c r="G15" s="8" t="n"/>
      <c r="H15" s="8" t="n"/>
      <c r="I15" s="15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работ",ISNUMBER(G15)),G15*IF(LEFT(LOWER(H15),1)="д",1/7,1),0)</f>
        <v/>
      </c>
    </row>
    <row r="16">
      <c r="A16" s="13" t="n"/>
      <c r="B16" s="14">
        <f>IF(A16="","",LEN(A16)-LEN(SUBSTITUTE(A16,".",""))+1)</f>
        <v/>
      </c>
      <c r="C16" s="7" t="n"/>
      <c r="D16" s="14">
        <f>IF(A16="","",IF(OR(B16=1,COUNTIF($A$7:$A$66,A16&amp;".*")&gt;0),"результат","пакет работ"))</f>
        <v/>
      </c>
      <c r="E16" s="7" t="n"/>
      <c r="F16" s="7" t="n"/>
      <c r="G16" s="8" t="n"/>
      <c r="H16" s="8" t="n"/>
      <c r="I16" s="15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работ",ISNUMBER(G16)),G16*IF(LEFT(LOWER(H16),1)="д",1/7,1),0)</f>
        <v/>
      </c>
    </row>
    <row r="17">
      <c r="A17" s="13" t="n"/>
      <c r="B17" s="14">
        <f>IF(A17="","",LEN(A17)-LEN(SUBSTITUTE(A17,".",""))+1)</f>
        <v/>
      </c>
      <c r="C17" s="7" t="n"/>
      <c r="D17" s="14">
        <f>IF(A17="","",IF(OR(B17=1,COUNTIF($A$7:$A$66,A17&amp;".*")&gt;0),"результат","пакет работ"))</f>
        <v/>
      </c>
      <c r="E17" s="7" t="n"/>
      <c r="F17" s="7" t="n"/>
      <c r="G17" s="8" t="n"/>
      <c r="H17" s="8" t="n"/>
      <c r="I17" s="15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работ",ISNUMBER(G17)),G17*IF(LEFT(LOWER(H17),1)="д",1/7,1),0)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IF(A18="","",IF(OR(B18=1,COUNTIF($A$7:$A$66,A18&amp;".*")&gt;0),"результат","пакет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работ",ISNUMBER(G18)),G18*IF(LEFT(LOWER(H18),1)="д",1/7,1),0)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IF(A19="","",IF(OR(B19=1,COUNTIF($A$7:$A$66,A19&amp;".*")&gt;0),"результат","пакет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работ",ISNUMBER(G19)),G19*IF(LEFT(LOWER(H19),1)="д",1/7,1),0)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IF(A20="","",IF(OR(B20=1,COUNTIF($A$7:$A$66,A20&amp;".*")&gt;0),"результат","пакет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работ",ISNUMBER(G20)),G20*IF(LEFT(LOWER(H20),1)="д",1/7,1),0)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IF(A21="","",IF(OR(B21=1,COUNTIF($A$7:$A$66,A21&amp;".*")&gt;0),"результат","пакет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работ",ISNUMBER(G21)),G21*IF(LEFT(LOWER(H21),1)="д",1/7,1),0)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работ",ISNUMBER(G22)),G22*IF(LEFT(LOWER(H22),1)="д",1/7,1),0)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работ",ISNUMBER(G23)),G23*IF(LEFT(LOWER(H23),1)="д",1/7,1),0)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работ",ISNUMBER(G24)),G24*IF(LEFT(LOWER(H24),1)="д",1/7,1),0)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работ",ISNUMBER(G25)),G25*IF(LEFT(LOWER(H25),1)="д",1/7,1),0)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работ",ISNUMBER(G26)),G26*IF(LEFT(LOWER(H26),1)="д",1/7,1),0)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работ",ISNUMBER(G27)),G27*IF(LEFT(LOWER(H27),1)="д",1/7,1),0)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работ",ISNUMBER(G28)),G28*IF(LEFT(LOWER(H28),1)="д",1/7,1),0)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работ",ISNUMBER(G29)),G29*IF(LEFT(LOWER(H29),1)="д",1/7,1),0)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работ",ISNUMBER(G30)),G30*IF(LEFT(LOWER(H30),1)="д",1/7,1),0)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работ",ISNUMBER(G31)),G31*IF(LEFT(LOWER(H31),1)="д",1/7,1),0)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работ",ISNUMBER(G32)),G32*IF(LEFT(LOWER(H32),1)="д",1/7,1),0)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работ",ISNUMBER(G33)),G33*IF(LEFT(LOWER(H33),1)="д",1/7,1),0)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работ",ISNUMBER(G34)),G34*IF(LEFT(LOWER(H34),1)="д",1/7,1),0)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работ",ISNUMBER(G35)),G35*IF(LEFT(LOWER(H35),1)="д",1/7,1),0)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работ",ISNUMBER(G36)),G36*IF(LEFT(LOWER(H36),1)="д",1/7,1),0)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работ",ISNUMBER(G37)),G37*IF(LEFT(LOWER(H37),1)="д",1/7,1),0)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работ",ISNUMBER(G38)),G38*IF(LEFT(LOWER(H38),1)="д",1/7,1),0)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работ",ISNUMBER(G39)),G39*IF(LEFT(LOWER(H39),1)="д",1/7,1),0)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работ",ISNUMBER(G40)),G40*IF(LEFT(LOWER(H40),1)="д",1/7,1),0)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работ",ISNUMBER(G41)),G41*IF(LEFT(LOWER(H41),1)="д",1/7,1),0)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работ",ISNUMBER(G42)),G42*IF(LEFT(LOWER(H42),1)="д",1/7,1),0)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работ",ISNUMBER(G43)),G43*IF(LEFT(LOWER(H43),1)="д",1/7,1),0)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работ",ISNUMBER(G44)),G44*IF(LEFT(LOWER(H44),1)="д",1/7,1),0)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работ",ISNUMBER(G45)),G45*IF(LEFT(LOWER(H45),1)="д",1/7,1),0)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работ",ISNUMBER(G46)),G46*IF(LEFT(LOWER(H46),1)="д",1/7,1),0)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работ",ISNUMBER(G47)),G47*IF(LEFT(LOWER(H47),1)="д",1/7,1),0)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работ",ISNUMBER(G48)),G48*IF(LEFT(LOWER(H48),1)="д",1/7,1),0)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работ",ISNUMBER(G49)),G49*IF(LEFT(LOWER(H49),1)="д",1/7,1),0)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работ",ISNUMBER(G50)),G50*IF(LEFT(LOWER(H50),1)="д",1/7,1),0)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работ",ISNUMBER(G51)),G51*IF(LEFT(LOWER(H51),1)="д",1/7,1),0)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работ",ISNUMBER(G52)),G52*IF(LEFT(LOWER(H52),1)="д",1/7,1),0)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работ",ISNUMBER(G53)),G53*IF(LEFT(LOWER(H53),1)="д",1/7,1),0)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работ",ISNUMBER(G54)),G54*IF(LEFT(LOWER(H54),1)="д",1/7,1),0)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работ",ISNUMBER(G55)),G55*IF(LEFT(LOWER(H55),1)="д",1/7,1),0)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работ",ISNUMBER(G56)),G56*IF(LEFT(LOWER(H56),1)="д",1/7,1),0)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работ",ISNUMBER(G57)),G57*IF(LEFT(LOWER(H57),1)="д",1/7,1),0)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работ",ISNUMBER(G58)),G58*IF(LEFT(LOWER(H58),1)="д",1/7,1),0)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работ",ISNUMBER(G59)),G59*IF(LEFT(LOWER(H59),1)="д",1/7,1),0)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работ",ISNUMBER(G60)),G60*IF(LEFT(LOWER(H60),1)="д",1/7,1),0)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работ",ISNUMBER(G61)),G61*IF(LEFT(LOWER(H61),1)="д",1/7,1),0)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работ",ISNUMBER(G62)),G62*IF(LEFT(LOWER(H62),1)="д",1/7,1),0)</f>
        <v/>
      </c>
    </row>
    <row r="63">
      <c r="A63" s="13" t="n"/>
      <c r="B63" s="14">
        <f>IF(A63="","",LEN(A63)-LEN(SUBSTITUTE(A63,".",""))+1)</f>
        <v/>
      </c>
      <c r="C63" s="7" t="n"/>
      <c r="D63" s="14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5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6">
        <f>IF(AND(D63="пакет работ",ISNUMBER(G63)),G63*IF(LEFT(LOWER(H63),1)="д",1/7,1),0)</f>
        <v/>
      </c>
    </row>
    <row r="64">
      <c r="A64" s="13" t="n"/>
      <c r="B64" s="14">
        <f>IF(A64="","",LEN(A64)-LEN(SUBSTITUTE(A64,".",""))+1)</f>
        <v/>
      </c>
      <c r="C64" s="7" t="n"/>
      <c r="D64" s="14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5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6">
        <f>IF(AND(D64="пакет работ",ISNUMBER(G64)),G64*IF(LEFT(LOWER(H64),1)="д",1/7,1),0)</f>
        <v/>
      </c>
    </row>
    <row r="65">
      <c r="A65" s="13" t="n"/>
      <c r="B65" s="14">
        <f>IF(A65="","",LEN(A65)-LEN(SUBSTITUTE(A65,".",""))+1)</f>
        <v/>
      </c>
      <c r="C65" s="7" t="n"/>
      <c r="D65" s="14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5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6">
        <f>IF(AND(D65="пакет работ",ISNUMBER(G65)),G65*IF(LEFT(LOWER(H65),1)="д",1/7,1),0)</f>
        <v/>
      </c>
    </row>
    <row r="66">
      <c r="A66" s="13" t="n"/>
      <c r="B66" s="14">
        <f>IF(A66="","",LEN(A66)-LEN(SUBSTITUTE(A66,".",""))+1)</f>
        <v/>
      </c>
      <c r="C66" s="7" t="n"/>
      <c r="D66" s="14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5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6">
        <f>IF(AND(D66="пакет работ",ISNUMBER(G66)),G66*IF(LEFT(LOWER(H66),1)="д",1/7,1),0)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2">
    <dataValidation sqref="H7:H66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  <dataValidation sqref="F7:F66" showDropDown="0" showInputMessage="0" showErrorMessage="1" allowBlank="1" errorTitle="Ответственный" error="Этого человека нет на листе «Команда». Ответственный — один человек." type="list" errorStyle="warning">
      <formula1>Команда!$A$5:$A$10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7F8C9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Пример: WBS умного горшка</t>
        </is>
      </c>
    </row>
    <row r="2">
      <c r="A2" s="9" t="inlineStr">
        <is>
          <t>Проект:</t>
        </is>
      </c>
      <c r="B2" s="10" t="inlineStr">
        <is>
          <t>Умный горшок: датчик влажности с индикатором</t>
        </is>
      </c>
    </row>
    <row r="3">
      <c r="A3" s="11" t="inlineStr">
        <is>
          <t>Результатов</t>
        </is>
      </c>
      <c r="C3" s="11" t="inlineStr">
        <is>
          <t>Пакетов работ</t>
        </is>
      </c>
      <c r="D3" s="11" t="inlineStr">
        <is>
          <t>Замечаний</t>
        </is>
      </c>
      <c r="E3" s="11" t="inlineStr">
        <is>
          <t>«Отчёт и защита»</t>
        </is>
      </c>
      <c r="F3" s="11" t="inlineStr">
        <is>
          <t>«Управление проектом»</t>
        </is>
      </c>
      <c r="G3" s="11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2">
        <f>COUNTIFS($B$7:$B$66,1)</f>
        <v/>
      </c>
      <c r="C4" s="12">
        <f>COUNTIF($D$7:$D$66,"пакет работ")</f>
        <v/>
      </c>
      <c r="D4" s="12">
        <f>COUNTIF($J$7:$J$66,"?*")-COUNTIF($J$7:$J$66,"✓")</f>
        <v/>
      </c>
      <c r="E4" s="12">
        <f>IF(COUNTIFS($B$7:$B$66,1,$C$7:$C$66,"*отч*")&gt;0,"✓ есть","добавьте")</f>
        <v/>
      </c>
      <c r="F4" s="12">
        <f>IF(COUNTIFS($B$7:$B$66,1,$C$7:$C$66,"*управл*")&gt;0,"✓ есть","добавьте")</f>
        <v/>
      </c>
      <c r="G4" s="12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3" t="inlineStr">
        <is>
          <t>1</t>
        </is>
      </c>
      <c r="B7" s="14">
        <f>IF(A7="","",LEN(A7)-LEN(SUBSTITUTE(A7,".",""))+1)</f>
        <v/>
      </c>
      <c r="C7" s="7" t="inlineStr">
        <is>
          <t>Прототип датчика с индикатором</t>
        </is>
      </c>
      <c r="D7" s="14">
        <f>IF(A7="","",IF(OR(B7=1,COUNTIF($A$7:$A$66,A7&amp;".*")&gt;0),"результат","пакет работ"))</f>
        <v/>
      </c>
      <c r="E7" s="7" t="inlineStr"/>
      <c r="F7" s="7" t="inlineStr"/>
      <c r="G7" s="8" t="n"/>
      <c r="H7" s="8" t="inlineStr"/>
      <c r="I7" s="15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работ",ISNUMBER(G7)),G7*IF(LEFT(LOWER(H7),1)="д",1/7,1),0)</f>
        <v/>
      </c>
    </row>
    <row r="8">
      <c r="A8" s="13" t="inlineStr">
        <is>
          <t>1.1</t>
        </is>
      </c>
      <c r="B8" s="14">
        <f>IF(A8="","",LEN(A8)-LEN(SUBSTITUTE(A8,".",""))+1)</f>
        <v/>
      </c>
      <c r="C8" s="7" t="inlineStr">
        <is>
          <t>Компоненты подобраны и куплены</t>
        </is>
      </c>
      <c r="D8" s="14">
        <f>IF(A8="","",IF(OR(B8=1,COUNTIF($A$7:$A$66,A8&amp;".*")&gt;0),"результат","пакет работ"))</f>
        <v/>
      </c>
      <c r="E8" s="7" t="inlineStr">
        <is>
          <t>список компонентов с ценами, не дороже 1500 ₽</t>
        </is>
      </c>
      <c r="F8" s="7" t="inlineStr">
        <is>
          <t>аналитик</t>
        </is>
      </c>
      <c r="G8" s="8" t="n">
        <v>1</v>
      </c>
      <c r="H8" s="8" t="inlineStr">
        <is>
          <t>недель</t>
        </is>
      </c>
      <c r="I8" s="15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работ",ISNUMBER(G8)),G8*IF(LEFT(LOWER(H8),1)="д",1/7,1),0)</f>
        <v/>
      </c>
    </row>
    <row r="9">
      <c r="A9" s="13" t="inlineStr">
        <is>
          <t>1.2</t>
        </is>
      </c>
      <c r="B9" s="14">
        <f>IF(A9="","",LEN(A9)-LEN(SUBSTITUTE(A9,".",""))+1)</f>
        <v/>
      </c>
      <c r="C9" s="7" t="inlineStr">
        <is>
          <t>Схема собрана и проверена на столе</t>
        </is>
      </c>
      <c r="D9" s="14">
        <f>IF(A9="","",IF(OR(B9=1,COUNTIF($A$7:$A$66,A9&amp;".*")&gt;0),"результат","пакет работ"))</f>
        <v/>
      </c>
      <c r="E9" s="7" t="inlineStr">
        <is>
          <t>фото схемы, показания на трёх образцах почвы</t>
        </is>
      </c>
      <c r="F9" s="7" t="inlineStr">
        <is>
          <t>технический эксперт</t>
        </is>
      </c>
      <c r="G9" s="8" t="n">
        <v>1</v>
      </c>
      <c r="H9" s="8" t="inlineStr">
        <is>
          <t>недель</t>
        </is>
      </c>
      <c r="I9" s="15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работ",ISNUMBER(G9)),G9*IF(LEFT(LOWER(H9),1)="д",1/7,1),0)</f>
        <v/>
      </c>
    </row>
    <row r="10">
      <c r="A10" s="13" t="inlineStr">
        <is>
          <t>1.3</t>
        </is>
      </c>
      <c r="B10" s="14">
        <f>IF(A10="","",LEN(A10)-LEN(SUBSTITUTE(A10,".",""))+1)</f>
        <v/>
      </c>
      <c r="C10" s="7" t="inlineStr">
        <is>
          <t>Программа: порог влажности включает индикатор</t>
        </is>
      </c>
      <c r="D10" s="14">
        <f>IF(A10="","",IF(OR(B10=1,COUNTIF($A$7:$A$66,A10&amp;".*")&gt;0),"результат","пакет работ"))</f>
        <v/>
      </c>
      <c r="E10" s="7" t="inlineStr">
        <is>
          <t>код программы</t>
        </is>
      </c>
      <c r="F10" s="7" t="inlineStr">
        <is>
          <t>технический эксперт</t>
        </is>
      </c>
      <c r="G10" s="8" t="n">
        <v>1</v>
      </c>
      <c r="H10" s="8" t="inlineStr">
        <is>
          <t>недель</t>
        </is>
      </c>
      <c r="I10" s="15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работ",ISNUMBER(G10)),G10*IF(LEFT(LOWER(H10),1)="д",1/7,1),0)</f>
        <v/>
      </c>
    </row>
    <row r="11">
      <c r="A11" s="13" t="inlineStr">
        <is>
          <t>1.4</t>
        </is>
      </c>
      <c r="B11" s="14">
        <f>IF(A11="","",LEN(A11)-LEN(SUBSTITUTE(A11,".",""))+1)</f>
        <v/>
      </c>
      <c r="C11" s="7" t="inlineStr">
        <is>
          <t>Корпус с индикатором</t>
        </is>
      </c>
      <c r="D11" s="14">
        <f>IF(A11="","",IF(OR(B11=1,COUNTIF($A$7:$A$66,A11&amp;".*")&gt;0),"результат","пакет работ"))</f>
        <v/>
      </c>
      <c r="E11" s="7" t="inlineStr">
        <is>
          <t>корпус, установленный в горшок</t>
        </is>
      </c>
      <c r="F11" s="7" t="inlineStr">
        <is>
          <t>лидер</t>
        </is>
      </c>
      <c r="G11" s="8" t="n">
        <v>1</v>
      </c>
      <c r="H11" s="8" t="inlineStr">
        <is>
          <t>недель</t>
        </is>
      </c>
      <c r="I11" s="15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работ",ISNUMBER(G11)),G11*IF(LEFT(LOWER(H11),1)="д",1/7,1),0)</f>
        <v/>
      </c>
    </row>
    <row r="12">
      <c r="A12" s="13" t="inlineStr">
        <is>
          <t>2</t>
        </is>
      </c>
      <c r="B12" s="14">
        <f>IF(A12="","",LEN(A12)-LEN(SUBSTITUTE(A12,".",""))+1)</f>
        <v/>
      </c>
      <c r="C12" s="7" t="inlineStr">
        <is>
          <t>Испытания</t>
        </is>
      </c>
      <c r="D12" s="14">
        <f>IF(A12="","",IF(OR(B12=1,COUNTIF($A$7:$A$66,A12&amp;".*")&gt;0),"результат","пакет работ"))</f>
        <v/>
      </c>
      <c r="E12" s="7" t="inlineStr"/>
      <c r="F12" s="7" t="inlineStr"/>
      <c r="G12" s="8" t="n"/>
      <c r="H12" s="8" t="inlineStr"/>
      <c r="I12" s="15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работ",ISNUMBER(G12)),G12*IF(LEFT(LOWER(H12),1)="д",1/7,1),0)</f>
        <v/>
      </c>
    </row>
    <row r="13">
      <c r="A13" s="13" t="inlineStr">
        <is>
          <t>2.1</t>
        </is>
      </c>
      <c r="B13" s="14">
        <f>IF(A13="","",LEN(A13)-LEN(SUBSTITUTE(A13,".",""))+1)</f>
        <v/>
      </c>
      <c r="C13" s="7" t="inlineStr">
        <is>
          <t>Калибровка датчика по контрольному влагомеру</t>
        </is>
      </c>
      <c r="D13" s="14">
        <f>IF(A13="","",IF(OR(B13=1,COUNTIF($A$7:$A$66,A13&amp;".*")&gt;0),"результат","пакет работ"))</f>
        <v/>
      </c>
      <c r="E13" s="7" t="inlineStr">
        <is>
          <t>таблица соответствия показаний</t>
        </is>
      </c>
      <c r="F13" s="7" t="inlineStr">
        <is>
          <t>технический эксперт</t>
        </is>
      </c>
      <c r="G13" s="8" t="n">
        <v>1</v>
      </c>
      <c r="H13" s="8" t="inlineStr">
        <is>
          <t>недель</t>
        </is>
      </c>
      <c r="I13" s="15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работ",ISNUMBER(G13)),G13*IF(LEFT(LOWER(H13),1)="д",1/7,1),0)</f>
        <v/>
      </c>
    </row>
    <row r="14">
      <c r="A14" s="13" t="inlineStr">
        <is>
          <t>2.2</t>
        </is>
      </c>
      <c r="B14" s="14">
        <f>IF(A14="","",LEN(A14)-LEN(SUBSTITUTE(A14,".",""))+1)</f>
        <v/>
      </c>
      <c r="C14" s="7" t="inlineStr">
        <is>
          <t>Десять циклов полива на трёх растениях</t>
        </is>
      </c>
      <c r="D14" s="14">
        <f>IF(A14="","",IF(OR(B14=1,COUNTIF($A$7:$A$66,A14&amp;".*")&gt;0),"результат","пакет работ"))</f>
        <v/>
      </c>
      <c r="E14" s="7" t="inlineStr">
        <is>
          <t>протокол испытаний</t>
        </is>
      </c>
      <c r="F14" s="7" t="inlineStr">
        <is>
          <t>аналитик</t>
        </is>
      </c>
      <c r="G14" s="8" t="n">
        <v>2</v>
      </c>
      <c r="H14" s="8" t="inlineStr">
        <is>
          <t>недель</t>
        </is>
      </c>
      <c r="I14" s="15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работ",ISNUMBER(G14)),G14*IF(LEFT(LOWER(H14),1)="д",1/7,1),0)</f>
        <v/>
      </c>
    </row>
    <row r="15">
      <c r="A15" s="13" t="inlineStr">
        <is>
          <t>3</t>
        </is>
      </c>
      <c r="B15" s="14">
        <f>IF(A15="","",LEN(A15)-LEN(SUBSTITUTE(A15,".",""))+1)</f>
        <v/>
      </c>
      <c r="C15" s="7" t="inlineStr">
        <is>
          <t>Проверка с пользователями</t>
        </is>
      </c>
      <c r="D15" s="14">
        <f>IF(A15="","",IF(OR(B15=1,COUNTIF($A$7:$A$66,A15&amp;".*")&gt;0),"результат","пакет работ"))</f>
        <v/>
      </c>
      <c r="E15" s="7" t="inlineStr"/>
      <c r="F15" s="7" t="inlineStr"/>
      <c r="G15" s="8" t="n"/>
      <c r="H15" s="8" t="inlineStr"/>
      <c r="I15" s="15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работ",ISNUMBER(G15)),G15*IF(LEFT(LOWER(H15),1)="д",1/7,1),0)</f>
        <v/>
      </c>
    </row>
    <row r="16">
      <c r="A16" s="13" t="inlineStr">
        <is>
          <t>3.1</t>
        </is>
      </c>
      <c r="B16" s="14">
        <f>IF(A16="","",LEN(A16)-LEN(SUBSTITUTE(A16,".",""))+1)</f>
        <v/>
      </c>
      <c r="C16" s="7" t="inlineStr">
        <is>
          <t>Три владельца растений попробовали прототип</t>
        </is>
      </c>
      <c r="D16" s="14">
        <f>IF(A16="","",IF(OR(B16=1,COUNTIF($A$7:$A$66,A16&amp;".*")&gt;0),"результат","пакет работ"))</f>
        <v/>
      </c>
      <c r="E16" s="7" t="inlineStr">
        <is>
          <t>записи разговоров, цитаты</t>
        </is>
      </c>
      <c r="F16" s="7" t="inlineStr">
        <is>
          <t>коммуникатор</t>
        </is>
      </c>
      <c r="G16" s="8" t="n">
        <v>1</v>
      </c>
      <c r="H16" s="8" t="inlineStr">
        <is>
          <t>недель</t>
        </is>
      </c>
      <c r="I16" s="15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работ",ISNUMBER(G16)),G16*IF(LEFT(LOWER(H16),1)="д",1/7,1),0)</f>
        <v/>
      </c>
    </row>
    <row r="17">
      <c r="A17" s="13" t="inlineStr">
        <is>
          <t>4</t>
        </is>
      </c>
      <c r="B17" s="14">
        <f>IF(A17="","",LEN(A17)-LEN(SUBSTITUTE(A17,".",""))+1)</f>
        <v/>
      </c>
      <c r="C17" s="7" t="inlineStr">
        <is>
          <t>Отчёт и защита</t>
        </is>
      </c>
      <c r="D17" s="14">
        <f>IF(A17="","",IF(OR(B17=1,COUNTIF($A$7:$A$66,A17&amp;".*")&gt;0),"результат","пакет работ"))</f>
        <v/>
      </c>
      <c r="E17" s="7" t="inlineStr"/>
      <c r="F17" s="7" t="inlineStr"/>
      <c r="G17" s="8" t="n"/>
      <c r="H17" s="8" t="inlineStr"/>
      <c r="I17" s="15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работ",ISNUMBER(G17)),G17*IF(LEFT(LOWER(H17),1)="д",1/7,1),0)</f>
        <v/>
      </c>
    </row>
    <row r="18">
      <c r="A18" s="13" t="inlineStr">
        <is>
          <t>4.1</t>
        </is>
      </c>
      <c r="B18" s="14">
        <f>IF(A18="","",LEN(A18)-LEN(SUBSTITUTE(A18,".",""))+1)</f>
        <v/>
      </c>
      <c r="C18" s="7" t="inlineStr">
        <is>
          <t>Письменный отчёт</t>
        </is>
      </c>
      <c r="D18" s="14">
        <f>IF(A18="","",IF(OR(B18=1,COUNTIF($A$7:$A$66,A18&amp;".*")&gt;0),"результат","пакет работ"))</f>
        <v/>
      </c>
      <c r="E18" s="7" t="inlineStr">
        <is>
          <t>отчёт</t>
        </is>
      </c>
      <c r="F18" s="7" t="inlineStr">
        <is>
          <t>аналитик</t>
        </is>
      </c>
      <c r="G18" s="8" t="n">
        <v>1</v>
      </c>
      <c r="H18" s="8" t="inlineStr">
        <is>
          <t>недель</t>
        </is>
      </c>
      <c r="I18" s="15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работ",ISNUMBER(G18)),G18*IF(LEFT(LOWER(H18),1)="д",1/7,1),0)</f>
        <v/>
      </c>
    </row>
    <row r="19">
      <c r="A19" s="13" t="inlineStr">
        <is>
          <t>4.2</t>
        </is>
      </c>
      <c r="B19" s="14">
        <f>IF(A19="","",LEN(A19)-LEN(SUBSTITUTE(A19,".",""))+1)</f>
        <v/>
      </c>
      <c r="C19" s="7" t="inlineStr">
        <is>
          <t>Презентация и питч</t>
        </is>
      </c>
      <c r="D19" s="14">
        <f>IF(A19="","",IF(OR(B19=1,COUNTIF($A$7:$A$66,A19&amp;".*")&gt;0),"результат","пакет работ"))</f>
        <v/>
      </c>
      <c r="E19" s="7" t="inlineStr">
        <is>
          <t>презентация, отрепетированный питч</t>
        </is>
      </c>
      <c r="F19" s="7" t="inlineStr">
        <is>
          <t>коммуникатор</t>
        </is>
      </c>
      <c r="G19" s="8" t="n">
        <v>1</v>
      </c>
      <c r="H19" s="8" t="inlineStr">
        <is>
          <t>недель</t>
        </is>
      </c>
      <c r="I19" s="15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работ",ISNUMBER(G19)),G19*IF(LEFT(LOWER(H19),1)="д",1/7,1),0)</f>
        <v/>
      </c>
    </row>
    <row r="20">
      <c r="A20" s="13" t="inlineStr">
        <is>
          <t>5</t>
        </is>
      </c>
      <c r="B20" s="14">
        <f>IF(A20="","",LEN(A20)-LEN(SUBSTITUTE(A20,".",""))+1)</f>
        <v/>
      </c>
      <c r="C20" s="7" t="inlineStr">
        <is>
          <t>Управление проектом</t>
        </is>
      </c>
      <c r="D20" s="14">
        <f>IF(A20="","",IF(OR(B20=1,COUNTIF($A$7:$A$66,A20&amp;".*")&gt;0),"результат","пакет работ"))</f>
        <v/>
      </c>
      <c r="E20" s="7" t="inlineStr"/>
      <c r="F20" s="7" t="inlineStr"/>
      <c r="G20" s="8" t="n"/>
      <c r="H20" s="8" t="inlineStr"/>
      <c r="I20" s="15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работ",ISNUMBER(G20)),G20*IF(LEFT(LOWER(H20),1)="д",1/7,1),0)</f>
        <v/>
      </c>
    </row>
    <row r="21">
      <c r="A21" s="13" t="inlineStr">
        <is>
          <t>5.1</t>
        </is>
      </c>
      <c r="B21" s="14">
        <f>IF(A21="","",LEN(A21)-LEN(SUBSTITUTE(A21,".",""))+1)</f>
        <v/>
      </c>
      <c r="C21" s="7" t="inlineStr">
        <is>
          <t>Паспорт, план, журнал проекта</t>
        </is>
      </c>
      <c r="D21" s="14">
        <f>IF(A21="","",IF(OR(B21=1,COUNTIF($A$7:$A$66,A21&amp;".*")&gt;0),"результат","пакет работ"))</f>
        <v/>
      </c>
      <c r="E21" s="7" t="inlineStr">
        <is>
          <t>документы; журнал — запись каждую неделю</t>
        </is>
      </c>
      <c r="F21" s="7" t="inlineStr">
        <is>
          <t>лидер</t>
        </is>
      </c>
      <c r="G21" s="8" t="inlineStr">
        <is>
          <t>весь проект</t>
        </is>
      </c>
      <c r="H21" s="8" t="inlineStr"/>
      <c r="I21" s="15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работ",ISNUMBER(G21)),G21*IF(LEFT(LOWER(H21),1)="д",1/7,1),0)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работ",ISNUMBER(G22)),G22*IF(LEFT(LOWER(H22),1)="д",1/7,1),0)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работ",ISNUMBER(G23)),G23*IF(LEFT(LOWER(H23),1)="д",1/7,1),0)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работ",ISNUMBER(G24)),G24*IF(LEFT(LOWER(H24),1)="д",1/7,1),0)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работ",ISNUMBER(G25)),G25*IF(LEFT(LOWER(H25),1)="д",1/7,1),0)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работ",ISNUMBER(G26)),G26*IF(LEFT(LOWER(H26),1)="д",1/7,1),0)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работ",ISNUMBER(G27)),G27*IF(LEFT(LOWER(H27),1)="д",1/7,1),0)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работ",ISNUMBER(G28)),G28*IF(LEFT(LOWER(H28),1)="д",1/7,1),0)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работ",ISNUMBER(G29)),G29*IF(LEFT(LOWER(H29),1)="д",1/7,1),0)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работ",ISNUMBER(G30)),G30*IF(LEFT(LOWER(H30),1)="д",1/7,1),0)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работ",ISNUMBER(G31)),G31*IF(LEFT(LOWER(H31),1)="д",1/7,1),0)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работ",ISNUMBER(G32)),G32*IF(LEFT(LOWER(H32),1)="д",1/7,1),0)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работ",ISNUMBER(G33)),G33*IF(LEFT(LOWER(H33),1)="д",1/7,1),0)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работ",ISNUMBER(G34)),G34*IF(LEFT(LOWER(H34),1)="д",1/7,1),0)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работ",ISNUMBER(G35)),G35*IF(LEFT(LOWER(H35),1)="д",1/7,1),0)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работ",ISNUMBER(G36)),G36*IF(LEFT(LOWER(H36),1)="д",1/7,1),0)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работ",ISNUMBER(G37)),G37*IF(LEFT(LOWER(H37),1)="д",1/7,1),0)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работ",ISNUMBER(G38)),G38*IF(LEFT(LOWER(H38),1)="д",1/7,1),0)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работ",ISNUMBER(G39)),G39*IF(LEFT(LOWER(H39),1)="д",1/7,1),0)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работ",ISNUMBER(G40)),G40*IF(LEFT(LOWER(H40),1)="д",1/7,1),0)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работ",ISNUMBER(G41)),G41*IF(LEFT(LOWER(H41),1)="д",1/7,1),0)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работ",ISNUMBER(G42)),G42*IF(LEFT(LOWER(H42),1)="д",1/7,1),0)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работ",ISNUMBER(G43)),G43*IF(LEFT(LOWER(H43),1)="д",1/7,1),0)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работ",ISNUMBER(G44)),G44*IF(LEFT(LOWER(H44),1)="д",1/7,1),0)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работ",ISNUMBER(G45)),G45*IF(LEFT(LOWER(H45),1)="д",1/7,1),0)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работ",ISNUMBER(G46)),G46*IF(LEFT(LOWER(H46),1)="д",1/7,1),0)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работ",ISNUMBER(G47)),G47*IF(LEFT(LOWER(H47),1)="д",1/7,1),0)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работ",ISNUMBER(G48)),G48*IF(LEFT(LOWER(H48),1)="д",1/7,1),0)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работ",ISNUMBER(G49)),G49*IF(LEFT(LOWER(H49),1)="д",1/7,1),0)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работ",ISNUMBER(G50)),G50*IF(LEFT(LOWER(H50),1)="д",1/7,1),0)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работ",ISNUMBER(G51)),G51*IF(LEFT(LOWER(H51),1)="д",1/7,1),0)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работ",ISNUMBER(G52)),G52*IF(LEFT(LOWER(H52),1)="д",1/7,1),0)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работ",ISNUMBER(G53)),G53*IF(LEFT(LOWER(H53),1)="д",1/7,1),0)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работ",ISNUMBER(G54)),G54*IF(LEFT(LOWER(H54),1)="д",1/7,1),0)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работ",ISNUMBER(G55)),G55*IF(LEFT(LOWER(H55),1)="д",1/7,1),0)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работ",ISNUMBER(G56)),G56*IF(LEFT(LOWER(H56),1)="д",1/7,1),0)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работ",ISNUMBER(G57)),G57*IF(LEFT(LOWER(H57),1)="д",1/7,1),0)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работ",ISNUMBER(G58)),G58*IF(LEFT(LOWER(H58),1)="д",1/7,1),0)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работ",ISNUMBER(G59)),G59*IF(LEFT(LOWER(H59),1)="д",1/7,1),0)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работ",ISNUMBER(G60)),G60*IF(LEFT(LOWER(H60),1)="д",1/7,1),0)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работ",ISNUMBER(G61)),G61*IF(LEFT(LOWER(H61),1)="д",1/7,1),0)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работ",ISNUMBER(G62)),G62*IF(LEFT(LOWER(H62),1)="д",1/7,1),0)</f>
        <v/>
      </c>
    </row>
    <row r="63">
      <c r="A63" s="13" t="n"/>
      <c r="B63" s="14">
        <f>IF(A63="","",LEN(A63)-LEN(SUBSTITUTE(A63,".",""))+1)</f>
        <v/>
      </c>
      <c r="C63" s="7" t="n"/>
      <c r="D63" s="14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5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6">
        <f>IF(AND(D63="пакет работ",ISNUMBER(G63)),G63*IF(LEFT(LOWER(H63),1)="д",1/7,1),0)</f>
        <v/>
      </c>
    </row>
    <row r="64">
      <c r="A64" s="13" t="n"/>
      <c r="B64" s="14">
        <f>IF(A64="","",LEN(A64)-LEN(SUBSTITUTE(A64,".",""))+1)</f>
        <v/>
      </c>
      <c r="C64" s="7" t="n"/>
      <c r="D64" s="14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5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6">
        <f>IF(AND(D64="пакет работ",ISNUMBER(G64)),G64*IF(LEFT(LOWER(H64),1)="д",1/7,1),0)</f>
        <v/>
      </c>
    </row>
    <row r="65">
      <c r="A65" s="13" t="n"/>
      <c r="B65" s="14">
        <f>IF(A65="","",LEN(A65)-LEN(SUBSTITUTE(A65,".",""))+1)</f>
        <v/>
      </c>
      <c r="C65" s="7" t="n"/>
      <c r="D65" s="14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5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6">
        <f>IF(AND(D65="пакет работ",ISNUMBER(G65)),G65*IF(LEFT(LOWER(H65),1)="д",1/7,1),0)</f>
        <v/>
      </c>
    </row>
    <row r="66">
      <c r="A66" s="13" t="n"/>
      <c r="B66" s="14">
        <f>IF(A66="","",LEN(A66)-LEN(SUBSTITUTE(A66,".",""))+1)</f>
        <v/>
      </c>
      <c r="C66" s="7" t="n"/>
      <c r="D66" s="14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5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6">
        <f>IF(AND(D66="пакет работ",ISNUMBER(G66)),G66*IF(LEFT(LOWER(H66),1)="д",1/7,1),0)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1">
    <dataValidation sqref="H7:H66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ГУАП · Кафедра № 3</dc:creator>
  <dc:title>Занятие 6. WBS проекта — таблица</dc:title>
  <dcterms:created xsi:type="dcterms:W3CDTF">2026-10-17T11:59:23Z</dcterms:created>
  <dcterms:modified xsi:type="dcterms:W3CDTF">2026-10-17T11:59:23Z</dcterms:modified>
</cp:coreProperties>
</file>