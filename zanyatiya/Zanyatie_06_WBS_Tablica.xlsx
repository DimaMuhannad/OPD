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Команда" sheetId="2" state="visible" r:id="rId2"/>
    <sheet name="WBS" sheetId="3" state="visible" r:id="rId3"/>
    <sheet name="Пример — умный горшок" sheetId="4" state="visible" r:id="rId4"/>
  </sheets>
  <definedNames>
    <definedName name="_xlnm.Print_Titles" localSheetId="2">'WBS'!$6:$6</definedName>
    <definedName name="_xlnm.Print_Area" localSheetId="2">'WBS'!$A$1:$J$66</definedName>
    <definedName name="_xlnm.Print_Titles" localSheetId="3">'Пример — умный горшок'!$6:$6</definedName>
    <definedName name="_xlnm.Print_Area" localSheetId="3">'Пример — умный горшок'!$A$1:$J$66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005AAA"/>
      <sz val="16"/>
    </font>
    <font>
      <name val="Arial"/>
      <color rgb="FF002C5F"/>
      <sz val="11"/>
    </font>
    <font>
      <name val="Arial"/>
      <b val="1"/>
      <color rgb="FF005AAA"/>
      <sz val="12"/>
    </font>
    <font>
      <name val="Arial"/>
      <b val="1"/>
      <color rgb="FF005AAA"/>
      <sz val="14"/>
    </font>
    <font>
      <name val="Arial"/>
      <i val="1"/>
      <color rgb="FF7F8C9A"/>
      <sz val="9"/>
    </font>
    <font>
      <name val="Arial"/>
      <b val="1"/>
      <color rgb="FF002C5F"/>
      <sz val="9"/>
    </font>
    <font>
      <name val="Arial"/>
      <color rgb="FF002C5F"/>
      <sz val="10"/>
    </font>
    <font>
      <name val="Arial"/>
      <b val="1"/>
      <color rgb="FF002C5F"/>
      <sz val="10"/>
    </font>
    <font>
      <name val="Arial"/>
      <color rgb="FF7F8C9A"/>
      <sz val="9"/>
    </font>
    <font>
      <name val="Arial"/>
      <color rgb="FF7F8C9A"/>
      <sz val="10"/>
    </font>
  </fonts>
  <fills count="4">
    <fill>
      <patternFill/>
    </fill>
    <fill>
      <patternFill patternType="gray125"/>
    </fill>
    <fill>
      <patternFill patternType="solid">
        <fgColor rgb="FFD9E6F3"/>
        <bgColor rgb="FFD9E6F3"/>
      </patternFill>
    </fill>
    <fill>
      <patternFill patternType="solid">
        <fgColor rgb="FFF4F6F8"/>
        <bgColor rgb="FFF4F6F8"/>
      </patternFill>
    </fill>
  </fills>
  <borders count="3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</border>
    <border>
      <bottom style="thin">
        <color rgb="FF002C5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2" fillId="0" borderId="2" pivotButton="0" quotePrefix="0" xfId="0"/>
    <xf numFmtId="0" fontId="9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49" fontId="7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FF002C5F"/>
      </font>
      <fill>
        <patternFill patternType="solid">
          <fgColor rgb="FFE6EFF8"/>
          <bgColor rgb="FFE6EFF8"/>
        </patternFill>
      </fill>
    </dxf>
    <dxf>
      <font>
        <b val="1"/>
        <color rgb="FFE70F47"/>
      </font>
    </dxf>
    <dxf>
      <font>
        <b val="1"/>
        <color rgb="FF009A4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6" customHeight="1">
      <c r="B1" s="1" t="inlineStr">
        <is>
          <t>Иерархическая структура работ (WBS) — таблица</t>
        </is>
      </c>
    </row>
    <row r="2" ht="30" customHeight="1">
      <c r="B2" s="2" t="inlineStr">
        <is>
          <t>Таблица повторяет оборот бланка WBS. Можно работать на бумаге, можно здесь — на следующую пару принесите лист или откройте файл: из пакетов будем строить диаграмму Ганта.</t>
        </is>
      </c>
    </row>
    <row r="4">
      <c r="B4" s="3" t="inlineStr">
        <is>
          <t>Как заполнять</t>
        </is>
      </c>
    </row>
    <row r="5" ht="30" customHeight="1">
      <c r="B5" s="2" t="inlineStr">
        <is>
          <t>1. Лист «Команда»: впишите участников и их роли. В списке — четыре роли с первого занятия; если команда придумала свои роли, впишите их вручную.</t>
        </is>
      </c>
    </row>
    <row r="6" ht="16" customHeight="1">
      <c r="B6" s="2" t="inlineStr">
        <is>
          <t>2. Лист «WBS», строка «Проект»: название и главный результат из паспорта.</t>
        </is>
      </c>
    </row>
    <row r="7" ht="30" customHeight="1">
      <c r="B7" s="2" t="inlineStr">
        <is>
          <t>3. Крупные результаты — коды 1, 2, 3… Возьмите выбранные ветви дерева целей. Добавьте «Отчёт и защита» и «Управление проектом»: эту работу всё равно придётся сделать.</t>
        </is>
      </c>
    </row>
    <row r="8" ht="30" customHeight="1">
      <c r="B8" s="2" t="inlineStr">
        <is>
          <t>4. Пакеты работ — коды 1.1, 1.2, 2.1… Каждый пакет пишите строкой сразу под своим результатом. Называйте существительным: «протокол испытаний», а не «испытать».</t>
        </is>
      </c>
    </row>
    <row r="9" ht="30" customHeight="1">
      <c r="B9" s="2" t="inlineStr">
        <is>
          <t>5. Для каждого пакета: что предъявляем, один ответственный (из списка), длительность и единица — недель или дней.</t>
        </is>
      </c>
    </row>
    <row r="10" ht="30" customHeight="1">
      <c r="B10" s="2" t="inlineStr">
        <is>
          <t>6. Уровень, тип и столбец «Проверка» заполняются сами. Красное — что ещё поправить, зелёная галочка — готово.</t>
        </is>
      </c>
    </row>
    <row r="11" ht="16" customHeight="1">
      <c r="B11" s="2" t="inlineStr">
        <is>
          <t>7. «Зависит от» оставьте пустым — заполним на следующей паре.</t>
        </is>
      </c>
    </row>
    <row r="13">
      <c r="B13" s="3" t="inlineStr">
        <is>
          <t>Проверьте себя</t>
        </is>
      </c>
    </row>
    <row r="14" ht="16" customHeight="1">
      <c r="B14" s="2" t="inlineStr">
        <is>
          <t>1. Все выбранные ветви дерева целей есть в WBS, а того, что записано в границах, нет?</t>
        </is>
      </c>
    </row>
    <row r="15" ht="16" customHeight="1">
      <c r="B15" s="2" t="inlineStr">
        <is>
          <t>2. Есть отчёт с защитой и управление проектом?</t>
        </is>
      </c>
    </row>
    <row r="16" ht="16" customHeight="1">
      <c r="B16" s="2" t="inlineStr">
        <is>
          <t>3. Каждый элемент — результат, который можно предъявить, а не действие?</t>
        </is>
      </c>
    </row>
    <row r="17" ht="16" customHeight="1">
      <c r="B17" s="2" t="inlineStr">
        <is>
          <t>4. Каждый пакет можно поручить одному человеку?</t>
        </is>
      </c>
    </row>
    <row r="19">
      <c r="B19" s="3" t="inlineStr">
        <is>
          <t>Подсказки</t>
        </is>
      </c>
    </row>
    <row r="20" ht="30" customHeight="1">
      <c r="B20" s="2" t="inlineStr">
        <is>
          <t>Пакет делается одним человеком за срок от нескольких вечеров до двух недель. Больше — дробите, меньше часа — объедините с соседним.</t>
        </is>
      </c>
    </row>
    <row r="21" ht="16" customHeight="1">
      <c r="B21" s="2" t="inlineStr">
        <is>
          <t>Оценивайте честно: если раньше никто в команде так не делал, срок больше, чем кажется.</t>
        </is>
      </c>
    </row>
    <row r="22" ht="16" customHeight="1">
      <c r="B22" s="2" t="inlineStr">
        <is>
          <t>Дат и порядка работ в WBS нет: WBS отвечает на вопрос «что», календарный план — «когда».</t>
        </is>
      </c>
    </row>
    <row r="23" ht="16" customHeight="1">
      <c r="B23" s="2" t="inlineStr">
        <is>
          <t>Образец — на листе «Пример — умный горшок».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</cols>
  <sheetData>
    <row r="1">
      <c r="A1" s="4" t="inlineStr">
        <is>
          <t>Команда и нагрузка</t>
        </is>
      </c>
    </row>
    <row r="2" ht="30" customHeight="1">
      <c r="A2" s="5" t="inlineStr">
        <is>
          <t>Впишите участников. Их имена появятся в выпадающем списке «Ответственный» на листе WBS. Справа видно, сколько пакетов и недель работы досталось каждому.</t>
        </is>
      </c>
    </row>
    <row r="4">
      <c r="A4" s="6" t="inlineStr">
        <is>
          <t>Участник (имя и фамилия)</t>
        </is>
      </c>
      <c r="B4" s="6" t="inlineStr">
        <is>
          <t>Роль в команде: из списка или своя</t>
        </is>
      </c>
      <c r="C4" s="6" t="inlineStr">
        <is>
          <t>Пакетов</t>
        </is>
      </c>
      <c r="D4" s="6" t="inlineStr">
        <is>
          <t>Недель работы</t>
        </is>
      </c>
    </row>
    <row r="5">
      <c r="A5" s="7" t="n"/>
      <c r="B5" s="7" t="n"/>
      <c r="C5" s="8">
        <f>IF(A5="","",COUNTIF(WBS!$F$7:$F$66,A5))</f>
        <v/>
      </c>
      <c r="D5" s="8">
        <f>IF(A5="","",ROUND(SUMIF(WBS!$F$7:$F$66,A5,WBS!$K$7:$K$66),1))</f>
        <v/>
      </c>
    </row>
    <row r="6">
      <c r="A6" s="7" t="n"/>
      <c r="B6" s="7" t="n"/>
      <c r="C6" s="8">
        <f>IF(A6="","",COUNTIF(WBS!$F$7:$F$66,A6))</f>
        <v/>
      </c>
      <c r="D6" s="8">
        <f>IF(A6="","",ROUND(SUMIF(WBS!$F$7:$F$66,A6,WBS!$K$7:$K$66),1))</f>
        <v/>
      </c>
    </row>
    <row r="7">
      <c r="A7" s="7" t="n"/>
      <c r="B7" s="7" t="n"/>
      <c r="C7" s="8">
        <f>IF(A7="","",COUNTIF(WBS!$F$7:$F$66,A7))</f>
        <v/>
      </c>
      <c r="D7" s="8">
        <f>IF(A7="","",ROUND(SUMIF(WBS!$F$7:$F$66,A7,WBS!$K$7:$K$66),1))</f>
        <v/>
      </c>
    </row>
    <row r="8">
      <c r="A8" s="7" t="n"/>
      <c r="B8" s="7" t="n"/>
      <c r="C8" s="8">
        <f>IF(A8="","",COUNTIF(WBS!$F$7:$F$66,A8))</f>
        <v/>
      </c>
      <c r="D8" s="8">
        <f>IF(A8="","",ROUND(SUMIF(WBS!$F$7:$F$66,A8,WBS!$K$7:$K$66),1))</f>
        <v/>
      </c>
    </row>
    <row r="9">
      <c r="A9" s="7" t="n"/>
      <c r="B9" s="7" t="n"/>
      <c r="C9" s="8">
        <f>IF(A9="","",COUNTIF(WBS!$F$7:$F$66,A9))</f>
        <v/>
      </c>
      <c r="D9" s="8">
        <f>IF(A9="","",ROUND(SUMIF(WBS!$F$7:$F$66,A9,WBS!$K$7:$K$66),1))</f>
        <v/>
      </c>
    </row>
    <row r="10">
      <c r="A10" s="7" t="n"/>
      <c r="B10" s="7" t="n"/>
      <c r="C10" s="8">
        <f>IF(A10="","",COUNTIF(WBS!$F$7:$F$66,A10))</f>
        <v/>
      </c>
      <c r="D10" s="8">
        <f>IF(A10="","",ROUND(SUMIF(WBS!$F$7:$F$66,A10,WBS!$K$7:$K$66),1))</f>
        <v/>
      </c>
    </row>
    <row r="12" ht="30" customHeight="1">
      <c r="A12" s="5" t="inlineStr">
        <is>
          <t>Если у одного человека намного больше недель, чем у других, перераспределите пакеты сейчас, до диаграммы Ганта.</t>
        </is>
      </c>
    </row>
  </sheetData>
  <mergeCells count="2">
    <mergeCell ref="A12:D12"/>
    <mergeCell ref="A2:D2"/>
  </mergeCells>
  <dataValidations count="1">
    <dataValidation sqref="B5 B6 B7 B8 B9 B10" showDropDown="0" showInputMessage="0" showErrorMessage="0" allowBlank="1" type="list">
      <formula1>"лидер,аналитик,технический эксперт,коммуникатор"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AA"/>
    <outlinePr summaryBelow="1" summaryRight="1"/>
    <pageSetUpPr fitToPage="1"/>
  </sheetPr>
  <dimension ref="A1:K6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14" customWidth="1" min="4" max="4"/>
    <col width="36" customWidth="1" min="5" max="5"/>
    <col width="20" customWidth="1" min="6" max="6"/>
    <col width="12" customWidth="1" min="7" max="7"/>
    <col width="9" customWidth="1" min="8" max="8"/>
    <col width="16" customWidth="1" min="9" max="9"/>
    <col width="30" customWidth="1" min="10" max="10"/>
    <col hidden="1" width="8" customWidth="1" min="11" max="11"/>
  </cols>
  <sheetData>
    <row r="1">
      <c r="A1" s="4" t="inlineStr">
        <is>
          <t>WBS проекта</t>
        </is>
      </c>
    </row>
    <row r="2">
      <c r="A2" s="9" t="inlineStr">
        <is>
          <t>Проект:</t>
        </is>
      </c>
      <c r="B2" s="10" t="n"/>
    </row>
    <row r="3">
      <c r="A3" s="11" t="inlineStr">
        <is>
          <t>Результатов</t>
        </is>
      </c>
      <c r="C3" s="11" t="inlineStr">
        <is>
          <t>Пакетов работ</t>
        </is>
      </c>
      <c r="D3" s="11" t="inlineStr">
        <is>
          <t>Замечаний</t>
        </is>
      </c>
      <c r="E3" s="11" t="inlineStr">
        <is>
          <t>«Отчёт и защита»</t>
        </is>
      </c>
      <c r="F3" s="11" t="inlineStr">
        <is>
          <t>«Управление проектом»</t>
        </is>
      </c>
      <c r="G3" s="11" t="inlineStr">
        <is>
          <t>Сумма, недель</t>
        </is>
      </c>
      <c r="I3" s="5" t="inlineStr">
        <is>
          <t>Сумма — если делать всё по очереди. Реальный срок покажет диаграмма Ганта.</t>
        </is>
      </c>
    </row>
    <row r="4">
      <c r="A4" s="12">
        <f>COUNTIFS($B$7:$B$66,1)</f>
        <v/>
      </c>
      <c r="C4" s="12">
        <f>COUNTIF($D$7:$D$66,"пакет работ")</f>
        <v/>
      </c>
      <c r="D4" s="12">
        <f>COUNTIF($J$7:$J$66,"?*")-COUNTIF($J$7:$J$66,"✓")</f>
        <v/>
      </c>
      <c r="E4" s="12">
        <f>IF(COUNTIFS($B$7:$B$66,1,$C$7:$C$66,"*отч*")&gt;0,"✓ есть","добавьте")</f>
        <v/>
      </c>
      <c r="F4" s="12">
        <f>IF(COUNTIFS($B$7:$B$66,1,$C$7:$C$66,"*управл*")&gt;0,"✓ есть","добавьте")</f>
        <v/>
      </c>
      <c r="G4" s="12">
        <f>ROUND(SUM($K$7:$K$66),1)</f>
        <v/>
      </c>
    </row>
    <row r="6" ht="42" customHeight="1">
      <c r="A6" s="6" t="inlineStr">
        <is>
          <t>Код</t>
        </is>
      </c>
      <c r="B6" s="6" t="inlineStr">
        <is>
          <t>Уровень</t>
        </is>
      </c>
      <c r="C6" s="6" t="inlineStr">
        <is>
          <t>Элемент WBS: результат или пакет работ (существительным)</t>
        </is>
      </c>
      <c r="D6" s="6" t="inlineStr">
        <is>
          <t>Тип</t>
        </is>
      </c>
      <c r="E6" s="6" t="inlineStr">
        <is>
          <t>Что предъявляем: предмет, документ, данные</t>
        </is>
      </c>
      <c r="F6" s="6" t="inlineStr">
        <is>
          <t>Ответственный (один)</t>
        </is>
      </c>
      <c r="G6" s="6" t="inlineStr">
        <is>
          <t>Длительность</t>
        </is>
      </c>
      <c r="H6" s="6" t="inlineStr">
        <is>
          <t>Ед.</t>
        </is>
      </c>
      <c r="I6" s="6" t="inlineStr">
        <is>
          <t>Зависит от (коды) — на следующей паре</t>
        </is>
      </c>
      <c r="J6" s="6" t="inlineStr">
        <is>
          <t>Проверка</t>
        </is>
      </c>
      <c r="K6" s="6" t="inlineStr">
        <is>
          <t>недель</t>
        </is>
      </c>
    </row>
    <row r="7">
      <c r="A7" s="13" t="n"/>
      <c r="B7" s="14">
        <f>IF(A7="","",LEN(A7)-LEN(SUBSTITUTE(A7,".",""))+1)</f>
        <v/>
      </c>
      <c r="C7" s="7" t="n"/>
      <c r="D7" s="14">
        <f>IF(A7="","",IF(OR(B7=1,COUNTIF($A$7:$A$66,A7&amp;".*")&gt;0),"результат","пакет работ"))</f>
        <v/>
      </c>
      <c r="E7" s="7" t="n"/>
      <c r="F7" s="7" t="n"/>
      <c r="G7" s="8" t="n"/>
      <c r="H7" s="8" t="n"/>
      <c r="I7" s="15" t="n"/>
      <c r="J7" s="7">
        <f>IF(A7="","",IF(COUNTIF($A$7:$A$66,A7)&gt;1,"код повторяется",IF(C7="","нет названия",IF(D7="результат",IF(COUNTIF($A$7:$A$66,A7&amp;".*")=0,"разложите на пакеты работ","✓"),IF(E7="","впишите, что предъявляем",IF(F7="","нужен один ответственный",IF(OR(ISNUMBER(SEARCH(",",F7)),ISNUMBER(SEARCH(" и ",F7)),LOWER(F7)="все"),"ответственный — один человек",IF(G7="","оцените длительность","✓"))))))))</f>
        <v/>
      </c>
      <c r="K7" s="16">
        <f>IF(AND(D7="пакет работ",ISNUMBER(G7)),G7*IF(LEFT(LOWER(H7),1)="д",1/7,1),0)</f>
        <v/>
      </c>
    </row>
    <row r="8">
      <c r="A8" s="13" t="n"/>
      <c r="B8" s="14">
        <f>IF(A8="","",LEN(A8)-LEN(SUBSTITUTE(A8,".",""))+1)</f>
        <v/>
      </c>
      <c r="C8" s="7" t="n"/>
      <c r="D8" s="14">
        <f>IF(A8="","",IF(OR(B8=1,COUNTIF($A$7:$A$66,A8&amp;".*")&gt;0),"результат","пакет работ"))</f>
        <v/>
      </c>
      <c r="E8" s="7" t="n"/>
      <c r="F8" s="7" t="n"/>
      <c r="G8" s="8" t="n"/>
      <c r="H8" s="8" t="n"/>
      <c r="I8" s="15" t="n"/>
      <c r="J8" s="7">
        <f>IF(A8="","",IF(COUNTIF($A$7:$A$66,A8)&gt;1,"код повторяется",IF(C8="","нет названия",IF(D8="результат",IF(COUNTIF($A$7:$A$66,A8&amp;".*")=0,"разложите на пакеты работ","✓"),IF(E8="","впишите, что предъявляем",IF(F8="","нужен один ответственный",IF(OR(ISNUMBER(SEARCH(",",F8)),ISNUMBER(SEARCH(" и ",F8)),LOWER(F8)="все"),"ответственный — один человек",IF(G8="","оцените длительность","✓"))))))))</f>
        <v/>
      </c>
      <c r="K8" s="16">
        <f>IF(AND(D8="пакет работ",ISNUMBER(G8)),G8*IF(LEFT(LOWER(H8),1)="д",1/7,1),0)</f>
        <v/>
      </c>
    </row>
    <row r="9">
      <c r="A9" s="13" t="n"/>
      <c r="B9" s="14">
        <f>IF(A9="","",LEN(A9)-LEN(SUBSTITUTE(A9,".",""))+1)</f>
        <v/>
      </c>
      <c r="C9" s="7" t="n"/>
      <c r="D9" s="14">
        <f>IF(A9="","",IF(OR(B9=1,COUNTIF($A$7:$A$66,A9&amp;".*")&gt;0),"результат","пакет работ"))</f>
        <v/>
      </c>
      <c r="E9" s="7" t="n"/>
      <c r="F9" s="7" t="n"/>
      <c r="G9" s="8" t="n"/>
      <c r="H9" s="8" t="n"/>
      <c r="I9" s="15" t="n"/>
      <c r="J9" s="7">
        <f>IF(A9="","",IF(COUNTIF($A$7:$A$66,A9)&gt;1,"код повторяется",IF(C9="","нет названия",IF(D9="результат",IF(COUNTIF($A$7:$A$66,A9&amp;".*")=0,"разложите на пакеты работ","✓"),IF(E9="","впишите, что предъявляем",IF(F9="","нужен один ответственный",IF(OR(ISNUMBER(SEARCH(",",F9)),ISNUMBER(SEARCH(" и ",F9)),LOWER(F9)="все"),"ответственный — один человек",IF(G9="","оцените длительность","✓"))))))))</f>
        <v/>
      </c>
      <c r="K9" s="16">
        <f>IF(AND(D9="пакет работ",ISNUMBER(G9)),G9*IF(LEFT(LOWER(H9),1)="д",1/7,1),0)</f>
        <v/>
      </c>
    </row>
    <row r="10">
      <c r="A10" s="13" t="n"/>
      <c r="B10" s="14">
        <f>IF(A10="","",LEN(A10)-LEN(SUBSTITUTE(A10,".",""))+1)</f>
        <v/>
      </c>
      <c r="C10" s="7" t="n"/>
      <c r="D10" s="14">
        <f>IF(A10="","",IF(OR(B10=1,COUNTIF($A$7:$A$66,A10&amp;".*")&gt;0),"результат","пакет работ"))</f>
        <v/>
      </c>
      <c r="E10" s="7" t="n"/>
      <c r="F10" s="7" t="n"/>
      <c r="G10" s="8" t="n"/>
      <c r="H10" s="8" t="n"/>
      <c r="I10" s="15" t="n"/>
      <c r="J10" s="7">
        <f>IF(A10="","",IF(COUNTIF($A$7:$A$66,A10)&gt;1,"код повторяется",IF(C10="","нет названия",IF(D10="результат",IF(COUNTIF($A$7:$A$66,A10&amp;".*")=0,"разложите на пакеты работ","✓"),IF(E10="","впишите, что предъявляем",IF(F10="","нужен один ответственный",IF(OR(ISNUMBER(SEARCH(",",F10)),ISNUMBER(SEARCH(" и ",F10)),LOWER(F10)="все"),"ответственный — один человек",IF(G10="","оцените длительность","✓"))))))))</f>
        <v/>
      </c>
      <c r="K10" s="16">
        <f>IF(AND(D10="пакет работ",ISNUMBER(G10)),G10*IF(LEFT(LOWER(H10),1)="д",1/7,1),0)</f>
        <v/>
      </c>
    </row>
    <row r="11">
      <c r="A11" s="13" t="n"/>
      <c r="B11" s="14">
        <f>IF(A11="","",LEN(A11)-LEN(SUBSTITUTE(A11,".",""))+1)</f>
        <v/>
      </c>
      <c r="C11" s="7" t="n"/>
      <c r="D11" s="14">
        <f>IF(A11="","",IF(OR(B11=1,COUNTIF($A$7:$A$66,A11&amp;".*")&gt;0),"результат","пакет работ"))</f>
        <v/>
      </c>
      <c r="E11" s="7" t="n"/>
      <c r="F11" s="7" t="n"/>
      <c r="G11" s="8" t="n"/>
      <c r="H11" s="8" t="n"/>
      <c r="I11" s="15" t="n"/>
      <c r="J11" s="7">
        <f>IF(A11="","",IF(COUNTIF($A$7:$A$66,A11)&gt;1,"код повторяется",IF(C11="","нет названия",IF(D11="результат",IF(COUNTIF($A$7:$A$66,A11&amp;".*")=0,"разложите на пакеты работ","✓"),IF(E11="","впишите, что предъявляем",IF(F11="","нужен один ответственный",IF(OR(ISNUMBER(SEARCH(",",F11)),ISNUMBER(SEARCH(" и ",F11)),LOWER(F11)="все"),"ответственный — один человек",IF(G11="","оцените длительность","✓"))))))))</f>
        <v/>
      </c>
      <c r="K11" s="16">
        <f>IF(AND(D11="пакет работ",ISNUMBER(G11)),G11*IF(LEFT(LOWER(H11),1)="д",1/7,1),0)</f>
        <v/>
      </c>
    </row>
    <row r="12">
      <c r="A12" s="13" t="n"/>
      <c r="B12" s="14">
        <f>IF(A12="","",LEN(A12)-LEN(SUBSTITUTE(A12,".",""))+1)</f>
        <v/>
      </c>
      <c r="C12" s="7" t="n"/>
      <c r="D12" s="14">
        <f>IF(A12="","",IF(OR(B12=1,COUNTIF($A$7:$A$66,A12&amp;".*")&gt;0),"результат","пакет работ"))</f>
        <v/>
      </c>
      <c r="E12" s="7" t="n"/>
      <c r="F12" s="7" t="n"/>
      <c r="G12" s="8" t="n"/>
      <c r="H12" s="8" t="n"/>
      <c r="I12" s="15" t="n"/>
      <c r="J12" s="7">
        <f>IF(A12="","",IF(COUNTIF($A$7:$A$66,A12)&gt;1,"код повторяется",IF(C12="","нет названия",IF(D12="результат",IF(COUNTIF($A$7:$A$66,A12&amp;".*")=0,"разложите на пакеты работ","✓"),IF(E12="","впишите, что предъявляем",IF(F12="","нужен один ответственный",IF(OR(ISNUMBER(SEARCH(",",F12)),ISNUMBER(SEARCH(" и ",F12)),LOWER(F12)="все"),"ответственный — один человек",IF(G12="","оцените длительность","✓"))))))))</f>
        <v/>
      </c>
      <c r="K12" s="16">
        <f>IF(AND(D12="пакет работ",ISNUMBER(G12)),G12*IF(LEFT(LOWER(H12),1)="д",1/7,1),0)</f>
        <v/>
      </c>
    </row>
    <row r="13">
      <c r="A13" s="13" t="n"/>
      <c r="B13" s="14">
        <f>IF(A13="","",LEN(A13)-LEN(SUBSTITUTE(A13,".",""))+1)</f>
        <v/>
      </c>
      <c r="C13" s="7" t="n"/>
      <c r="D13" s="14">
        <f>IF(A13="","",IF(OR(B13=1,COUNTIF($A$7:$A$66,A13&amp;".*")&gt;0),"результат","пакет работ"))</f>
        <v/>
      </c>
      <c r="E13" s="7" t="n"/>
      <c r="F13" s="7" t="n"/>
      <c r="G13" s="8" t="n"/>
      <c r="H13" s="8" t="n"/>
      <c r="I13" s="15" t="n"/>
      <c r="J13" s="7">
        <f>IF(A13="","",IF(COUNTIF($A$7:$A$66,A13)&gt;1,"код повторяется",IF(C13="","нет названия",IF(D13="результат",IF(COUNTIF($A$7:$A$66,A13&amp;".*")=0,"разложите на пакеты работ","✓"),IF(E13="","впишите, что предъявляем",IF(F13="","нужен один ответственный",IF(OR(ISNUMBER(SEARCH(",",F13)),ISNUMBER(SEARCH(" и ",F13)),LOWER(F13)="все"),"ответственный — один человек",IF(G13="","оцените длительность","✓"))))))))</f>
        <v/>
      </c>
      <c r="K13" s="16">
        <f>IF(AND(D13="пакет работ",ISNUMBER(G13)),G13*IF(LEFT(LOWER(H13),1)="д",1/7,1),0)</f>
        <v/>
      </c>
    </row>
    <row r="14">
      <c r="A14" s="13" t="n"/>
      <c r="B14" s="14">
        <f>IF(A14="","",LEN(A14)-LEN(SUBSTITUTE(A14,".",""))+1)</f>
        <v/>
      </c>
      <c r="C14" s="7" t="n"/>
      <c r="D14" s="14">
        <f>IF(A14="","",IF(OR(B14=1,COUNTIF($A$7:$A$66,A14&amp;".*")&gt;0),"результат","пакет работ"))</f>
        <v/>
      </c>
      <c r="E14" s="7" t="n"/>
      <c r="F14" s="7" t="n"/>
      <c r="G14" s="8" t="n"/>
      <c r="H14" s="8" t="n"/>
      <c r="I14" s="15" t="n"/>
      <c r="J14" s="7">
        <f>IF(A14="","",IF(COUNTIF($A$7:$A$66,A14)&gt;1,"код повторяется",IF(C14="","нет названия",IF(D14="результат",IF(COUNTIF($A$7:$A$66,A14&amp;".*")=0,"разложите на пакеты работ","✓"),IF(E14="","впишите, что предъявляем",IF(F14="","нужен один ответственный",IF(OR(ISNUMBER(SEARCH(",",F14)),ISNUMBER(SEARCH(" и ",F14)),LOWER(F14)="все"),"ответственный — один человек",IF(G14="","оцените длительность","✓"))))))))</f>
        <v/>
      </c>
      <c r="K14" s="16">
        <f>IF(AND(D14="пакет работ",ISNUMBER(G14)),G14*IF(LEFT(LOWER(H14),1)="д",1/7,1),0)</f>
        <v/>
      </c>
    </row>
    <row r="15">
      <c r="A15" s="13" t="n"/>
      <c r="B15" s="14">
        <f>IF(A15="","",LEN(A15)-LEN(SUBSTITUTE(A15,".",""))+1)</f>
        <v/>
      </c>
      <c r="C15" s="7" t="n"/>
      <c r="D15" s="14">
        <f>IF(A15="","",IF(OR(B15=1,COUNTIF($A$7:$A$66,A15&amp;".*")&gt;0),"результат","пакет работ"))</f>
        <v/>
      </c>
      <c r="E15" s="7" t="n"/>
      <c r="F15" s="7" t="n"/>
      <c r="G15" s="8" t="n"/>
      <c r="H15" s="8" t="n"/>
      <c r="I15" s="15" t="n"/>
      <c r="J15" s="7">
        <f>IF(A15="","",IF(COUNTIF($A$7:$A$66,A15)&gt;1,"код повторяется",IF(C15="","нет названия",IF(D15="результат",IF(COUNTIF($A$7:$A$66,A15&amp;".*")=0,"разложите на пакеты работ","✓"),IF(E15="","впишите, что предъявляем",IF(F15="","нужен один ответственный",IF(OR(ISNUMBER(SEARCH(",",F15)),ISNUMBER(SEARCH(" и ",F15)),LOWER(F15)="все"),"ответственный — один человек",IF(G15="","оцените длительность","✓"))))))))</f>
        <v/>
      </c>
      <c r="K15" s="16">
        <f>IF(AND(D15="пакет работ",ISNUMBER(G15)),G15*IF(LEFT(LOWER(H15),1)="д",1/7,1),0)</f>
        <v/>
      </c>
    </row>
    <row r="16">
      <c r="A16" s="13" t="n"/>
      <c r="B16" s="14">
        <f>IF(A16="","",LEN(A16)-LEN(SUBSTITUTE(A16,".",""))+1)</f>
        <v/>
      </c>
      <c r="C16" s="7" t="n"/>
      <c r="D16" s="14">
        <f>IF(A16="","",IF(OR(B16=1,COUNTIF($A$7:$A$66,A16&amp;".*")&gt;0),"результат","пакет работ"))</f>
        <v/>
      </c>
      <c r="E16" s="7" t="n"/>
      <c r="F16" s="7" t="n"/>
      <c r="G16" s="8" t="n"/>
      <c r="H16" s="8" t="n"/>
      <c r="I16" s="15" t="n"/>
      <c r="J16" s="7">
        <f>IF(A16="","",IF(COUNTIF($A$7:$A$66,A16)&gt;1,"код повторяется",IF(C16="","нет названия",IF(D16="результат",IF(COUNTIF($A$7:$A$66,A16&amp;".*")=0,"разложите на пакеты работ","✓"),IF(E16="","впишите, что предъявляем",IF(F16="","нужен один ответственный",IF(OR(ISNUMBER(SEARCH(",",F16)),ISNUMBER(SEARCH(" и ",F16)),LOWER(F16)="все"),"ответственный — один человек",IF(G16="","оцените длительность","✓"))))))))</f>
        <v/>
      </c>
      <c r="K16" s="16">
        <f>IF(AND(D16="пакет работ",ISNUMBER(G16)),G16*IF(LEFT(LOWER(H16),1)="д",1/7,1),0)</f>
        <v/>
      </c>
    </row>
    <row r="17">
      <c r="A17" s="13" t="n"/>
      <c r="B17" s="14">
        <f>IF(A17="","",LEN(A17)-LEN(SUBSTITUTE(A17,".",""))+1)</f>
        <v/>
      </c>
      <c r="C17" s="7" t="n"/>
      <c r="D17" s="14">
        <f>IF(A17="","",IF(OR(B17=1,COUNTIF($A$7:$A$66,A17&amp;".*")&gt;0),"результат","пакет работ"))</f>
        <v/>
      </c>
      <c r="E17" s="7" t="n"/>
      <c r="F17" s="7" t="n"/>
      <c r="G17" s="8" t="n"/>
      <c r="H17" s="8" t="n"/>
      <c r="I17" s="15" t="n"/>
      <c r="J17" s="7">
        <f>IF(A17="","",IF(COUNTIF($A$7:$A$66,A17)&gt;1,"код повторяется",IF(C17="","нет названия",IF(D17="результат",IF(COUNTIF($A$7:$A$66,A17&amp;".*")=0,"разложите на пакеты работ","✓"),IF(E17="","впишите, что предъявляем",IF(F17="","нужен один ответственный",IF(OR(ISNUMBER(SEARCH(",",F17)),ISNUMBER(SEARCH(" и ",F17)),LOWER(F17)="все"),"ответственный — один человек",IF(G17="","оцените длительность","✓"))))))))</f>
        <v/>
      </c>
      <c r="K17" s="16">
        <f>IF(AND(D17="пакет работ",ISNUMBER(G17)),G17*IF(LEFT(LOWER(H17),1)="д",1/7,1),0)</f>
        <v/>
      </c>
    </row>
    <row r="18">
      <c r="A18" s="13" t="n"/>
      <c r="B18" s="14">
        <f>IF(A18="","",LEN(A18)-LEN(SUBSTITUTE(A18,".",""))+1)</f>
        <v/>
      </c>
      <c r="C18" s="7" t="n"/>
      <c r="D18" s="14">
        <f>IF(A18="","",IF(OR(B18=1,COUNTIF($A$7:$A$66,A18&amp;".*")&gt;0),"результат","пакет работ"))</f>
        <v/>
      </c>
      <c r="E18" s="7" t="n"/>
      <c r="F18" s="7" t="n"/>
      <c r="G18" s="8" t="n"/>
      <c r="H18" s="8" t="n"/>
      <c r="I18" s="15" t="n"/>
      <c r="J18" s="7">
        <f>IF(A18="","",IF(COUNTIF($A$7:$A$66,A18)&gt;1,"код повторяется",IF(C18="","нет названия",IF(D18="результат",IF(COUNTIF($A$7:$A$66,A18&amp;".*")=0,"разложите на пакеты работ","✓"),IF(E18="","впишите, что предъявляем",IF(F18="","нужен один ответственный",IF(OR(ISNUMBER(SEARCH(",",F18)),ISNUMBER(SEARCH(" и ",F18)),LOWER(F18)="все"),"ответственный — один человек",IF(G18="","оцените длительность","✓"))))))))</f>
        <v/>
      </c>
      <c r="K18" s="16">
        <f>IF(AND(D18="пакет работ",ISNUMBER(G18)),G18*IF(LEFT(LOWER(H18),1)="д",1/7,1),0)</f>
        <v/>
      </c>
    </row>
    <row r="19">
      <c r="A19" s="13" t="n"/>
      <c r="B19" s="14">
        <f>IF(A19="","",LEN(A19)-LEN(SUBSTITUTE(A19,".",""))+1)</f>
        <v/>
      </c>
      <c r="C19" s="7" t="n"/>
      <c r="D19" s="14">
        <f>IF(A19="","",IF(OR(B19=1,COUNTIF($A$7:$A$66,A19&amp;".*")&gt;0),"результат","пакет работ"))</f>
        <v/>
      </c>
      <c r="E19" s="7" t="n"/>
      <c r="F19" s="7" t="n"/>
      <c r="G19" s="8" t="n"/>
      <c r="H19" s="8" t="n"/>
      <c r="I19" s="15" t="n"/>
      <c r="J19" s="7">
        <f>IF(A19="","",IF(COUNTIF($A$7:$A$66,A19)&gt;1,"код повторяется",IF(C19="","нет названия",IF(D19="результат",IF(COUNTIF($A$7:$A$66,A19&amp;".*")=0,"разложите на пакеты работ","✓"),IF(E19="","впишите, что предъявляем",IF(F19="","нужен один ответственный",IF(OR(ISNUMBER(SEARCH(",",F19)),ISNUMBER(SEARCH(" и ",F19)),LOWER(F19)="все"),"ответственный — один человек",IF(G19="","оцените длительность","✓"))))))))</f>
        <v/>
      </c>
      <c r="K19" s="16">
        <f>IF(AND(D19="пакет работ",ISNUMBER(G19)),G19*IF(LEFT(LOWER(H19),1)="д",1/7,1),0)</f>
        <v/>
      </c>
    </row>
    <row r="20">
      <c r="A20" s="13" t="n"/>
      <c r="B20" s="14">
        <f>IF(A20="","",LEN(A20)-LEN(SUBSTITUTE(A20,".",""))+1)</f>
        <v/>
      </c>
      <c r="C20" s="7" t="n"/>
      <c r="D20" s="14">
        <f>IF(A20="","",IF(OR(B20=1,COUNTIF($A$7:$A$66,A20&amp;".*")&gt;0),"результат","пакет работ"))</f>
        <v/>
      </c>
      <c r="E20" s="7" t="n"/>
      <c r="F20" s="7" t="n"/>
      <c r="G20" s="8" t="n"/>
      <c r="H20" s="8" t="n"/>
      <c r="I20" s="15" t="n"/>
      <c r="J20" s="7">
        <f>IF(A20="","",IF(COUNTIF($A$7:$A$66,A20)&gt;1,"код повторяется",IF(C20="","нет названия",IF(D20="результат",IF(COUNTIF($A$7:$A$66,A20&amp;".*")=0,"разложите на пакеты работ","✓"),IF(E20="","впишите, что предъявляем",IF(F20="","нужен один ответственный",IF(OR(ISNUMBER(SEARCH(",",F20)),ISNUMBER(SEARCH(" и ",F20)),LOWER(F20)="все"),"ответственный — один человек",IF(G20="","оцените длительность","✓"))))))))</f>
        <v/>
      </c>
      <c r="K20" s="16">
        <f>IF(AND(D20="пакет работ",ISNUMBER(G20)),G20*IF(LEFT(LOWER(H20),1)="д",1/7,1),0)</f>
        <v/>
      </c>
    </row>
    <row r="21">
      <c r="A21" s="13" t="n"/>
      <c r="B21" s="14">
        <f>IF(A21="","",LEN(A21)-LEN(SUBSTITUTE(A21,".",""))+1)</f>
        <v/>
      </c>
      <c r="C21" s="7" t="n"/>
      <c r="D21" s="14">
        <f>IF(A21="","",IF(OR(B21=1,COUNTIF($A$7:$A$66,A21&amp;".*")&gt;0),"результат","пакет работ"))</f>
        <v/>
      </c>
      <c r="E21" s="7" t="n"/>
      <c r="F21" s="7" t="n"/>
      <c r="G21" s="8" t="n"/>
      <c r="H21" s="8" t="n"/>
      <c r="I21" s="15" t="n"/>
      <c r="J21" s="7">
        <f>IF(A21="","",IF(COUNTIF($A$7:$A$66,A21)&gt;1,"код повторяется",IF(C21="","нет названия",IF(D21="результат",IF(COUNTIF($A$7:$A$66,A21&amp;".*")=0,"разложите на пакеты работ","✓"),IF(E21="","впишите, что предъявляем",IF(F21="","нужен один ответственный",IF(OR(ISNUMBER(SEARCH(",",F21)),ISNUMBER(SEARCH(" и ",F21)),LOWER(F21)="все"),"ответственный — один человек",IF(G21="","оцените длительность","✓"))))))))</f>
        <v/>
      </c>
      <c r="K21" s="16">
        <f>IF(AND(D21="пакет работ",ISNUMBER(G21)),G21*IF(LEFT(LOWER(H21),1)="д",1/7,1),0)</f>
        <v/>
      </c>
    </row>
    <row r="22">
      <c r="A22" s="13" t="n"/>
      <c r="B22" s="14">
        <f>IF(A22="","",LEN(A22)-LEN(SUBSTITUTE(A22,".",""))+1)</f>
        <v/>
      </c>
      <c r="C22" s="7" t="n"/>
      <c r="D22" s="14">
        <f>IF(A22="","",IF(OR(B22=1,COUNTIF($A$7:$A$66,A22&amp;".*")&gt;0),"результат","пакет работ"))</f>
        <v/>
      </c>
      <c r="E22" s="7" t="n"/>
      <c r="F22" s="7" t="n"/>
      <c r="G22" s="8" t="n"/>
      <c r="H22" s="8" t="n"/>
      <c r="I22" s="15" t="n"/>
      <c r="J22" s="7">
        <f>IF(A22="","",IF(COUNTIF($A$7:$A$66,A22)&gt;1,"код повторяется",IF(C22="","нет названия",IF(D22="результат",IF(COUNTIF($A$7:$A$66,A22&amp;".*")=0,"разложите на пакеты работ","✓"),IF(E22="","впишите, что предъявляем",IF(F22="","нужен один ответственный",IF(OR(ISNUMBER(SEARCH(",",F22)),ISNUMBER(SEARCH(" и ",F22)),LOWER(F22)="все"),"ответственный — один человек",IF(G22="","оцените длительность","✓"))))))))</f>
        <v/>
      </c>
      <c r="K22" s="16">
        <f>IF(AND(D22="пакет работ",ISNUMBER(G22)),G22*IF(LEFT(LOWER(H22),1)="д",1/7,1),0)</f>
        <v/>
      </c>
    </row>
    <row r="23">
      <c r="A23" s="13" t="n"/>
      <c r="B23" s="14">
        <f>IF(A23="","",LEN(A23)-LEN(SUBSTITUTE(A23,".",""))+1)</f>
        <v/>
      </c>
      <c r="C23" s="7" t="n"/>
      <c r="D23" s="14">
        <f>IF(A23="","",IF(OR(B23=1,COUNTIF($A$7:$A$66,A23&amp;".*")&gt;0),"результат","пакет работ"))</f>
        <v/>
      </c>
      <c r="E23" s="7" t="n"/>
      <c r="F23" s="7" t="n"/>
      <c r="G23" s="8" t="n"/>
      <c r="H23" s="8" t="n"/>
      <c r="I23" s="15" t="n"/>
      <c r="J23" s="7">
        <f>IF(A23="","",IF(COUNTIF($A$7:$A$66,A23)&gt;1,"код повторяется",IF(C23="","нет названия",IF(D23="результат",IF(COUNTIF($A$7:$A$66,A23&amp;".*")=0,"разложите на пакеты работ","✓"),IF(E23="","впишите, что предъявляем",IF(F23="","нужен один ответственный",IF(OR(ISNUMBER(SEARCH(",",F23)),ISNUMBER(SEARCH(" и ",F23)),LOWER(F23)="все"),"ответственный — один человек",IF(G23="","оцените длительность","✓"))))))))</f>
        <v/>
      </c>
      <c r="K23" s="16">
        <f>IF(AND(D23="пакет работ",ISNUMBER(G23)),G23*IF(LEFT(LOWER(H23),1)="д",1/7,1),0)</f>
        <v/>
      </c>
    </row>
    <row r="24">
      <c r="A24" s="13" t="n"/>
      <c r="B24" s="14">
        <f>IF(A24="","",LEN(A24)-LEN(SUBSTITUTE(A24,".",""))+1)</f>
        <v/>
      </c>
      <c r="C24" s="7" t="n"/>
      <c r="D24" s="14">
        <f>IF(A24="","",IF(OR(B24=1,COUNTIF($A$7:$A$66,A24&amp;".*")&gt;0),"результат","пакет работ"))</f>
        <v/>
      </c>
      <c r="E24" s="7" t="n"/>
      <c r="F24" s="7" t="n"/>
      <c r="G24" s="8" t="n"/>
      <c r="H24" s="8" t="n"/>
      <c r="I24" s="15" t="n"/>
      <c r="J24" s="7">
        <f>IF(A24="","",IF(COUNTIF($A$7:$A$66,A24)&gt;1,"код повторяется",IF(C24="","нет названия",IF(D24="результат",IF(COUNTIF($A$7:$A$66,A24&amp;".*")=0,"разложите на пакеты работ","✓"),IF(E24="","впишите, что предъявляем",IF(F24="","нужен один ответственный",IF(OR(ISNUMBER(SEARCH(",",F24)),ISNUMBER(SEARCH(" и ",F24)),LOWER(F24)="все"),"ответственный — один человек",IF(G24="","оцените длительность","✓"))))))))</f>
        <v/>
      </c>
      <c r="K24" s="16">
        <f>IF(AND(D24="пакет работ",ISNUMBER(G24)),G24*IF(LEFT(LOWER(H24),1)="д",1/7,1),0)</f>
        <v/>
      </c>
    </row>
    <row r="25">
      <c r="A25" s="13" t="n"/>
      <c r="B25" s="14">
        <f>IF(A25="","",LEN(A25)-LEN(SUBSTITUTE(A25,".",""))+1)</f>
        <v/>
      </c>
      <c r="C25" s="7" t="n"/>
      <c r="D25" s="14">
        <f>IF(A25="","",IF(OR(B25=1,COUNTIF($A$7:$A$66,A25&amp;".*")&gt;0),"результат","пакет работ"))</f>
        <v/>
      </c>
      <c r="E25" s="7" t="n"/>
      <c r="F25" s="7" t="n"/>
      <c r="G25" s="8" t="n"/>
      <c r="H25" s="8" t="n"/>
      <c r="I25" s="15" t="n"/>
      <c r="J25" s="7">
        <f>IF(A25="","",IF(COUNTIF($A$7:$A$66,A25)&gt;1,"код повторяется",IF(C25="","нет названия",IF(D25="результат",IF(COUNTIF($A$7:$A$66,A25&amp;".*")=0,"разложите на пакеты работ","✓"),IF(E25="","впишите, что предъявляем",IF(F25="","нужен один ответственный",IF(OR(ISNUMBER(SEARCH(",",F25)),ISNUMBER(SEARCH(" и ",F25)),LOWER(F25)="все"),"ответственный — один человек",IF(G25="","оцените длительность","✓"))))))))</f>
        <v/>
      </c>
      <c r="K25" s="16">
        <f>IF(AND(D25="пакет работ",ISNUMBER(G25)),G25*IF(LEFT(LOWER(H25),1)="д",1/7,1),0)</f>
        <v/>
      </c>
    </row>
    <row r="26">
      <c r="A26" s="13" t="n"/>
      <c r="B26" s="14">
        <f>IF(A26="","",LEN(A26)-LEN(SUBSTITUTE(A26,".",""))+1)</f>
        <v/>
      </c>
      <c r="C26" s="7" t="n"/>
      <c r="D26" s="14">
        <f>IF(A26="","",IF(OR(B26=1,COUNTIF($A$7:$A$66,A26&amp;".*")&gt;0),"результат","пакет работ"))</f>
        <v/>
      </c>
      <c r="E26" s="7" t="n"/>
      <c r="F26" s="7" t="n"/>
      <c r="G26" s="8" t="n"/>
      <c r="H26" s="8" t="n"/>
      <c r="I26" s="15" t="n"/>
      <c r="J26" s="7">
        <f>IF(A26="","",IF(COUNTIF($A$7:$A$66,A26)&gt;1,"код повторяется",IF(C26="","нет названия",IF(D26="результат",IF(COUNTIF($A$7:$A$66,A26&amp;".*")=0,"разложите на пакеты работ","✓"),IF(E26="","впишите, что предъявляем",IF(F26="","нужен один ответственный",IF(OR(ISNUMBER(SEARCH(",",F26)),ISNUMBER(SEARCH(" и ",F26)),LOWER(F26)="все"),"ответственный — один человек",IF(G26="","оцените длительность","✓"))))))))</f>
        <v/>
      </c>
      <c r="K26" s="16">
        <f>IF(AND(D26="пакет работ",ISNUMBER(G26)),G26*IF(LEFT(LOWER(H26),1)="д",1/7,1),0)</f>
        <v/>
      </c>
    </row>
    <row r="27">
      <c r="A27" s="13" t="n"/>
      <c r="B27" s="14">
        <f>IF(A27="","",LEN(A27)-LEN(SUBSTITUTE(A27,".",""))+1)</f>
        <v/>
      </c>
      <c r="C27" s="7" t="n"/>
      <c r="D27" s="14">
        <f>IF(A27="","",IF(OR(B27=1,COUNTIF($A$7:$A$66,A27&amp;".*")&gt;0),"результат","пакет работ"))</f>
        <v/>
      </c>
      <c r="E27" s="7" t="n"/>
      <c r="F27" s="7" t="n"/>
      <c r="G27" s="8" t="n"/>
      <c r="H27" s="8" t="n"/>
      <c r="I27" s="15" t="n"/>
      <c r="J27" s="7">
        <f>IF(A27="","",IF(COUNTIF($A$7:$A$66,A27)&gt;1,"код повторяется",IF(C27="","нет названия",IF(D27="результат",IF(COUNTIF($A$7:$A$66,A27&amp;".*")=0,"разложите на пакеты работ","✓"),IF(E27="","впишите, что предъявляем",IF(F27="","нужен один ответственный",IF(OR(ISNUMBER(SEARCH(",",F27)),ISNUMBER(SEARCH(" и ",F27)),LOWER(F27)="все"),"ответственный — один человек",IF(G27="","оцените длительность","✓"))))))))</f>
        <v/>
      </c>
      <c r="K27" s="16">
        <f>IF(AND(D27="пакет работ",ISNUMBER(G27)),G27*IF(LEFT(LOWER(H27),1)="д",1/7,1),0)</f>
        <v/>
      </c>
    </row>
    <row r="28">
      <c r="A28" s="13" t="n"/>
      <c r="B28" s="14">
        <f>IF(A28="","",LEN(A28)-LEN(SUBSTITUTE(A28,".",""))+1)</f>
        <v/>
      </c>
      <c r="C28" s="7" t="n"/>
      <c r="D28" s="14">
        <f>IF(A28="","",IF(OR(B28=1,COUNTIF($A$7:$A$66,A28&amp;".*")&gt;0),"результат","пакет работ"))</f>
        <v/>
      </c>
      <c r="E28" s="7" t="n"/>
      <c r="F28" s="7" t="n"/>
      <c r="G28" s="8" t="n"/>
      <c r="H28" s="8" t="n"/>
      <c r="I28" s="15" t="n"/>
      <c r="J28" s="7">
        <f>IF(A28="","",IF(COUNTIF($A$7:$A$66,A28)&gt;1,"код повторяется",IF(C28="","нет названия",IF(D28="результат",IF(COUNTIF($A$7:$A$66,A28&amp;".*")=0,"разложите на пакеты работ","✓"),IF(E28="","впишите, что предъявляем",IF(F28="","нужен один ответственный",IF(OR(ISNUMBER(SEARCH(",",F28)),ISNUMBER(SEARCH(" и ",F28)),LOWER(F28)="все"),"ответственный — один человек",IF(G28="","оцените длительность","✓"))))))))</f>
        <v/>
      </c>
      <c r="K28" s="16">
        <f>IF(AND(D28="пакет работ",ISNUMBER(G28)),G28*IF(LEFT(LOWER(H28),1)="д",1/7,1),0)</f>
        <v/>
      </c>
    </row>
    <row r="29">
      <c r="A29" s="13" t="n"/>
      <c r="B29" s="14">
        <f>IF(A29="","",LEN(A29)-LEN(SUBSTITUTE(A29,".",""))+1)</f>
        <v/>
      </c>
      <c r="C29" s="7" t="n"/>
      <c r="D29" s="14">
        <f>IF(A29="","",IF(OR(B29=1,COUNTIF($A$7:$A$66,A29&amp;".*")&gt;0),"результат","пакет работ"))</f>
        <v/>
      </c>
      <c r="E29" s="7" t="n"/>
      <c r="F29" s="7" t="n"/>
      <c r="G29" s="8" t="n"/>
      <c r="H29" s="8" t="n"/>
      <c r="I29" s="15" t="n"/>
      <c r="J29" s="7">
        <f>IF(A29="","",IF(COUNTIF($A$7:$A$66,A29)&gt;1,"код повторяется",IF(C29="","нет названия",IF(D29="результат",IF(COUNTIF($A$7:$A$66,A29&amp;".*")=0,"разложите на пакеты работ","✓"),IF(E29="","впишите, что предъявляем",IF(F29="","нужен один ответственный",IF(OR(ISNUMBER(SEARCH(",",F29)),ISNUMBER(SEARCH(" и ",F29)),LOWER(F29)="все"),"ответственный — один человек",IF(G29="","оцените длительность","✓"))))))))</f>
        <v/>
      </c>
      <c r="K29" s="16">
        <f>IF(AND(D29="пакет работ",ISNUMBER(G29)),G29*IF(LEFT(LOWER(H29),1)="д",1/7,1),0)</f>
        <v/>
      </c>
    </row>
    <row r="30">
      <c r="A30" s="13" t="n"/>
      <c r="B30" s="14">
        <f>IF(A30="","",LEN(A30)-LEN(SUBSTITUTE(A30,".",""))+1)</f>
        <v/>
      </c>
      <c r="C30" s="7" t="n"/>
      <c r="D30" s="14">
        <f>IF(A30="","",IF(OR(B30=1,COUNTIF($A$7:$A$66,A30&amp;".*")&gt;0),"результат","пакет работ"))</f>
        <v/>
      </c>
      <c r="E30" s="7" t="n"/>
      <c r="F30" s="7" t="n"/>
      <c r="G30" s="8" t="n"/>
      <c r="H30" s="8" t="n"/>
      <c r="I30" s="15" t="n"/>
      <c r="J30" s="7">
        <f>IF(A30="","",IF(COUNTIF($A$7:$A$66,A30)&gt;1,"код повторяется",IF(C30="","нет названия",IF(D30="результат",IF(COUNTIF($A$7:$A$66,A30&amp;".*")=0,"разложите на пакеты работ","✓"),IF(E30="","впишите, что предъявляем",IF(F30="","нужен один ответственный",IF(OR(ISNUMBER(SEARCH(",",F30)),ISNUMBER(SEARCH(" и ",F30)),LOWER(F30)="все"),"ответственный — один человек",IF(G30="","оцените длительность","✓"))))))))</f>
        <v/>
      </c>
      <c r="K30" s="16">
        <f>IF(AND(D30="пакет работ",ISNUMBER(G30)),G30*IF(LEFT(LOWER(H30),1)="д",1/7,1),0)</f>
        <v/>
      </c>
    </row>
    <row r="31">
      <c r="A31" s="13" t="n"/>
      <c r="B31" s="14">
        <f>IF(A31="","",LEN(A31)-LEN(SUBSTITUTE(A31,".",""))+1)</f>
        <v/>
      </c>
      <c r="C31" s="7" t="n"/>
      <c r="D31" s="14">
        <f>IF(A31="","",IF(OR(B31=1,COUNTIF($A$7:$A$66,A31&amp;".*")&gt;0),"результат","пакет работ"))</f>
        <v/>
      </c>
      <c r="E31" s="7" t="n"/>
      <c r="F31" s="7" t="n"/>
      <c r="G31" s="8" t="n"/>
      <c r="H31" s="8" t="n"/>
      <c r="I31" s="15" t="n"/>
      <c r="J31" s="7">
        <f>IF(A31="","",IF(COUNTIF($A$7:$A$66,A31)&gt;1,"код повторяется",IF(C31="","нет названия",IF(D31="результат",IF(COUNTIF($A$7:$A$66,A31&amp;".*")=0,"разложите на пакеты работ","✓"),IF(E31="","впишите, что предъявляем",IF(F31="","нужен один ответственный",IF(OR(ISNUMBER(SEARCH(",",F31)),ISNUMBER(SEARCH(" и ",F31)),LOWER(F31)="все"),"ответственный — один человек",IF(G31="","оцените длительность","✓"))))))))</f>
        <v/>
      </c>
      <c r="K31" s="16">
        <f>IF(AND(D31="пакет работ",ISNUMBER(G31)),G31*IF(LEFT(LOWER(H31),1)="д",1/7,1),0)</f>
        <v/>
      </c>
    </row>
    <row r="32">
      <c r="A32" s="13" t="n"/>
      <c r="B32" s="14">
        <f>IF(A32="","",LEN(A32)-LEN(SUBSTITUTE(A32,".",""))+1)</f>
        <v/>
      </c>
      <c r="C32" s="7" t="n"/>
      <c r="D32" s="14">
        <f>IF(A32="","",IF(OR(B32=1,COUNTIF($A$7:$A$66,A32&amp;".*")&gt;0),"результат","пакет работ"))</f>
        <v/>
      </c>
      <c r="E32" s="7" t="n"/>
      <c r="F32" s="7" t="n"/>
      <c r="G32" s="8" t="n"/>
      <c r="H32" s="8" t="n"/>
      <c r="I32" s="15" t="n"/>
      <c r="J32" s="7">
        <f>IF(A32="","",IF(COUNTIF($A$7:$A$66,A32)&gt;1,"код повторяется",IF(C32="","нет названия",IF(D32="результат",IF(COUNTIF($A$7:$A$66,A32&amp;".*")=0,"разложите на пакеты работ","✓"),IF(E32="","впишите, что предъявляем",IF(F32="","нужен один ответственный",IF(OR(ISNUMBER(SEARCH(",",F32)),ISNUMBER(SEARCH(" и ",F32)),LOWER(F32)="все"),"ответственный — один человек",IF(G32="","оцените длительность","✓"))))))))</f>
        <v/>
      </c>
      <c r="K32" s="16">
        <f>IF(AND(D32="пакет работ",ISNUMBER(G32)),G32*IF(LEFT(LOWER(H32),1)="д",1/7,1),0)</f>
        <v/>
      </c>
    </row>
    <row r="33">
      <c r="A33" s="13" t="n"/>
      <c r="B33" s="14">
        <f>IF(A33="","",LEN(A33)-LEN(SUBSTITUTE(A33,".",""))+1)</f>
        <v/>
      </c>
      <c r="C33" s="7" t="n"/>
      <c r="D33" s="14">
        <f>IF(A33="","",IF(OR(B33=1,COUNTIF($A$7:$A$66,A33&amp;".*")&gt;0),"результат","пакет работ"))</f>
        <v/>
      </c>
      <c r="E33" s="7" t="n"/>
      <c r="F33" s="7" t="n"/>
      <c r="G33" s="8" t="n"/>
      <c r="H33" s="8" t="n"/>
      <c r="I33" s="15" t="n"/>
      <c r="J33" s="7">
        <f>IF(A33="","",IF(COUNTIF($A$7:$A$66,A33)&gt;1,"код повторяется",IF(C33="","нет названия",IF(D33="результат",IF(COUNTIF($A$7:$A$66,A33&amp;".*")=0,"разложите на пакеты работ","✓"),IF(E33="","впишите, что предъявляем",IF(F33="","нужен один ответственный",IF(OR(ISNUMBER(SEARCH(",",F33)),ISNUMBER(SEARCH(" и ",F33)),LOWER(F33)="все"),"ответственный — один человек",IF(G33="","оцените длительность","✓"))))))))</f>
        <v/>
      </c>
      <c r="K33" s="16">
        <f>IF(AND(D33="пакет работ",ISNUMBER(G33)),G33*IF(LEFT(LOWER(H33),1)="д",1/7,1),0)</f>
        <v/>
      </c>
    </row>
    <row r="34">
      <c r="A34" s="13" t="n"/>
      <c r="B34" s="14">
        <f>IF(A34="","",LEN(A34)-LEN(SUBSTITUTE(A34,".",""))+1)</f>
        <v/>
      </c>
      <c r="C34" s="7" t="n"/>
      <c r="D34" s="14">
        <f>IF(A34="","",IF(OR(B34=1,COUNTIF($A$7:$A$66,A34&amp;".*")&gt;0),"результат","пакет работ"))</f>
        <v/>
      </c>
      <c r="E34" s="7" t="n"/>
      <c r="F34" s="7" t="n"/>
      <c r="G34" s="8" t="n"/>
      <c r="H34" s="8" t="n"/>
      <c r="I34" s="15" t="n"/>
      <c r="J34" s="7">
        <f>IF(A34="","",IF(COUNTIF($A$7:$A$66,A34)&gt;1,"код повторяется",IF(C34="","нет названия",IF(D34="результат",IF(COUNTIF($A$7:$A$66,A34&amp;".*")=0,"разложите на пакеты работ","✓"),IF(E34="","впишите, что предъявляем",IF(F34="","нужен один ответственный",IF(OR(ISNUMBER(SEARCH(",",F34)),ISNUMBER(SEARCH(" и ",F34)),LOWER(F34)="все"),"ответственный — один человек",IF(G34="","оцените длительность","✓"))))))))</f>
        <v/>
      </c>
      <c r="K34" s="16">
        <f>IF(AND(D34="пакет работ",ISNUMBER(G34)),G34*IF(LEFT(LOWER(H34),1)="д",1/7,1),0)</f>
        <v/>
      </c>
    </row>
    <row r="35">
      <c r="A35" s="13" t="n"/>
      <c r="B35" s="14">
        <f>IF(A35="","",LEN(A35)-LEN(SUBSTITUTE(A35,".",""))+1)</f>
        <v/>
      </c>
      <c r="C35" s="7" t="n"/>
      <c r="D35" s="14">
        <f>IF(A35="","",IF(OR(B35=1,COUNTIF($A$7:$A$66,A35&amp;".*")&gt;0),"результат","пакет работ"))</f>
        <v/>
      </c>
      <c r="E35" s="7" t="n"/>
      <c r="F35" s="7" t="n"/>
      <c r="G35" s="8" t="n"/>
      <c r="H35" s="8" t="n"/>
      <c r="I35" s="15" t="n"/>
      <c r="J35" s="7">
        <f>IF(A35="","",IF(COUNTIF($A$7:$A$66,A35)&gt;1,"код повторяется",IF(C35="","нет названия",IF(D35="результат",IF(COUNTIF($A$7:$A$66,A35&amp;".*")=0,"разложите на пакеты работ","✓"),IF(E35="","впишите, что предъявляем",IF(F35="","нужен один ответственный",IF(OR(ISNUMBER(SEARCH(",",F35)),ISNUMBER(SEARCH(" и ",F35)),LOWER(F35)="все"),"ответственный — один человек",IF(G35="","оцените длительность","✓"))))))))</f>
        <v/>
      </c>
      <c r="K35" s="16">
        <f>IF(AND(D35="пакет работ",ISNUMBER(G35)),G35*IF(LEFT(LOWER(H35),1)="д",1/7,1),0)</f>
        <v/>
      </c>
    </row>
    <row r="36">
      <c r="A36" s="13" t="n"/>
      <c r="B36" s="14">
        <f>IF(A36="","",LEN(A36)-LEN(SUBSTITUTE(A36,".",""))+1)</f>
        <v/>
      </c>
      <c r="C36" s="7" t="n"/>
      <c r="D36" s="14">
        <f>IF(A36="","",IF(OR(B36=1,COUNTIF($A$7:$A$66,A36&amp;".*")&gt;0),"результат","пакет работ"))</f>
        <v/>
      </c>
      <c r="E36" s="7" t="n"/>
      <c r="F36" s="7" t="n"/>
      <c r="G36" s="8" t="n"/>
      <c r="H36" s="8" t="n"/>
      <c r="I36" s="15" t="n"/>
      <c r="J36" s="7">
        <f>IF(A36="","",IF(COUNTIF($A$7:$A$66,A36)&gt;1,"код повторяется",IF(C36="","нет названия",IF(D36="результат",IF(COUNTIF($A$7:$A$66,A36&amp;".*")=0,"разложите на пакеты работ","✓"),IF(E36="","впишите, что предъявляем",IF(F36="","нужен один ответственный",IF(OR(ISNUMBER(SEARCH(",",F36)),ISNUMBER(SEARCH(" и ",F36)),LOWER(F36)="все"),"ответственный — один человек",IF(G36="","оцените длительность","✓"))))))))</f>
        <v/>
      </c>
      <c r="K36" s="16">
        <f>IF(AND(D36="пакет работ",ISNUMBER(G36)),G36*IF(LEFT(LOWER(H36),1)="д",1/7,1),0)</f>
        <v/>
      </c>
    </row>
    <row r="37">
      <c r="A37" s="13" t="n"/>
      <c r="B37" s="14">
        <f>IF(A37="","",LEN(A37)-LEN(SUBSTITUTE(A37,".",""))+1)</f>
        <v/>
      </c>
      <c r="C37" s="7" t="n"/>
      <c r="D37" s="14">
        <f>IF(A37="","",IF(OR(B37=1,COUNTIF($A$7:$A$66,A37&amp;".*")&gt;0),"результат","пакет работ"))</f>
        <v/>
      </c>
      <c r="E37" s="7" t="n"/>
      <c r="F37" s="7" t="n"/>
      <c r="G37" s="8" t="n"/>
      <c r="H37" s="8" t="n"/>
      <c r="I37" s="15" t="n"/>
      <c r="J37" s="7">
        <f>IF(A37="","",IF(COUNTIF($A$7:$A$66,A37)&gt;1,"код повторяется",IF(C37="","нет названия",IF(D37="результат",IF(COUNTIF($A$7:$A$66,A37&amp;".*")=0,"разложите на пакеты работ","✓"),IF(E37="","впишите, что предъявляем",IF(F37="","нужен один ответственный",IF(OR(ISNUMBER(SEARCH(",",F37)),ISNUMBER(SEARCH(" и ",F37)),LOWER(F37)="все"),"ответственный — один человек",IF(G37="","оцените длительность","✓"))))))))</f>
        <v/>
      </c>
      <c r="K37" s="16">
        <f>IF(AND(D37="пакет работ",ISNUMBER(G37)),G37*IF(LEFT(LOWER(H37),1)="д",1/7,1),0)</f>
        <v/>
      </c>
    </row>
    <row r="38">
      <c r="A38" s="13" t="n"/>
      <c r="B38" s="14">
        <f>IF(A38="","",LEN(A38)-LEN(SUBSTITUTE(A38,".",""))+1)</f>
        <v/>
      </c>
      <c r="C38" s="7" t="n"/>
      <c r="D38" s="14">
        <f>IF(A38="","",IF(OR(B38=1,COUNTIF($A$7:$A$66,A38&amp;".*")&gt;0),"результат","пакет работ"))</f>
        <v/>
      </c>
      <c r="E38" s="7" t="n"/>
      <c r="F38" s="7" t="n"/>
      <c r="G38" s="8" t="n"/>
      <c r="H38" s="8" t="n"/>
      <c r="I38" s="15" t="n"/>
      <c r="J38" s="7">
        <f>IF(A38="","",IF(COUNTIF($A$7:$A$66,A38)&gt;1,"код повторяется",IF(C38="","нет названия",IF(D38="результат",IF(COUNTIF($A$7:$A$66,A38&amp;".*")=0,"разложите на пакеты работ","✓"),IF(E38="","впишите, что предъявляем",IF(F38="","нужен один ответственный",IF(OR(ISNUMBER(SEARCH(",",F38)),ISNUMBER(SEARCH(" и ",F38)),LOWER(F38)="все"),"ответственный — один человек",IF(G38="","оцените длительность","✓"))))))))</f>
        <v/>
      </c>
      <c r="K38" s="16">
        <f>IF(AND(D38="пакет работ",ISNUMBER(G38)),G38*IF(LEFT(LOWER(H38),1)="д",1/7,1),0)</f>
        <v/>
      </c>
    </row>
    <row r="39">
      <c r="A39" s="13" t="n"/>
      <c r="B39" s="14">
        <f>IF(A39="","",LEN(A39)-LEN(SUBSTITUTE(A39,".",""))+1)</f>
        <v/>
      </c>
      <c r="C39" s="7" t="n"/>
      <c r="D39" s="14">
        <f>IF(A39="","",IF(OR(B39=1,COUNTIF($A$7:$A$66,A39&amp;".*")&gt;0),"результат","пакет работ"))</f>
        <v/>
      </c>
      <c r="E39" s="7" t="n"/>
      <c r="F39" s="7" t="n"/>
      <c r="G39" s="8" t="n"/>
      <c r="H39" s="8" t="n"/>
      <c r="I39" s="15" t="n"/>
      <c r="J39" s="7">
        <f>IF(A39="","",IF(COUNTIF($A$7:$A$66,A39)&gt;1,"код повторяется",IF(C39="","нет названия",IF(D39="результат",IF(COUNTIF($A$7:$A$66,A39&amp;".*")=0,"разложите на пакеты работ","✓"),IF(E39="","впишите, что предъявляем",IF(F39="","нужен один ответственный",IF(OR(ISNUMBER(SEARCH(",",F39)),ISNUMBER(SEARCH(" и ",F39)),LOWER(F39)="все"),"ответственный — один человек",IF(G39="","оцените длительность","✓"))))))))</f>
        <v/>
      </c>
      <c r="K39" s="16">
        <f>IF(AND(D39="пакет работ",ISNUMBER(G39)),G39*IF(LEFT(LOWER(H39),1)="д",1/7,1),0)</f>
        <v/>
      </c>
    </row>
    <row r="40">
      <c r="A40" s="13" t="n"/>
      <c r="B40" s="14">
        <f>IF(A40="","",LEN(A40)-LEN(SUBSTITUTE(A40,".",""))+1)</f>
        <v/>
      </c>
      <c r="C40" s="7" t="n"/>
      <c r="D40" s="14">
        <f>IF(A40="","",IF(OR(B40=1,COUNTIF($A$7:$A$66,A40&amp;".*")&gt;0),"результат","пакет работ"))</f>
        <v/>
      </c>
      <c r="E40" s="7" t="n"/>
      <c r="F40" s="7" t="n"/>
      <c r="G40" s="8" t="n"/>
      <c r="H40" s="8" t="n"/>
      <c r="I40" s="15" t="n"/>
      <c r="J40" s="7">
        <f>IF(A40="","",IF(COUNTIF($A$7:$A$66,A40)&gt;1,"код повторяется",IF(C40="","нет названия",IF(D40="результат",IF(COUNTIF($A$7:$A$66,A40&amp;".*")=0,"разложите на пакеты работ","✓"),IF(E40="","впишите, что предъявляем",IF(F40="","нужен один ответственный",IF(OR(ISNUMBER(SEARCH(",",F40)),ISNUMBER(SEARCH(" и ",F40)),LOWER(F40)="все"),"ответственный — один человек",IF(G40="","оцените длительность","✓"))))))))</f>
        <v/>
      </c>
      <c r="K40" s="16">
        <f>IF(AND(D40="пакет работ",ISNUMBER(G40)),G40*IF(LEFT(LOWER(H40),1)="д",1/7,1),0)</f>
        <v/>
      </c>
    </row>
    <row r="41">
      <c r="A41" s="13" t="n"/>
      <c r="B41" s="14">
        <f>IF(A41="","",LEN(A41)-LEN(SUBSTITUTE(A41,".",""))+1)</f>
        <v/>
      </c>
      <c r="C41" s="7" t="n"/>
      <c r="D41" s="14">
        <f>IF(A41="","",IF(OR(B41=1,COUNTIF($A$7:$A$66,A41&amp;".*")&gt;0),"результат","пакет работ"))</f>
        <v/>
      </c>
      <c r="E41" s="7" t="n"/>
      <c r="F41" s="7" t="n"/>
      <c r="G41" s="8" t="n"/>
      <c r="H41" s="8" t="n"/>
      <c r="I41" s="15" t="n"/>
      <c r="J41" s="7">
        <f>IF(A41="","",IF(COUNTIF($A$7:$A$66,A41)&gt;1,"код повторяется",IF(C41="","нет названия",IF(D41="результат",IF(COUNTIF($A$7:$A$66,A41&amp;".*")=0,"разложите на пакеты работ","✓"),IF(E41="","впишите, что предъявляем",IF(F41="","нужен один ответственный",IF(OR(ISNUMBER(SEARCH(",",F41)),ISNUMBER(SEARCH(" и ",F41)),LOWER(F41)="все"),"ответственный — один человек",IF(G41="","оцените длительность","✓"))))))))</f>
        <v/>
      </c>
      <c r="K41" s="16">
        <f>IF(AND(D41="пакет работ",ISNUMBER(G41)),G41*IF(LEFT(LOWER(H41),1)="д",1/7,1),0)</f>
        <v/>
      </c>
    </row>
    <row r="42">
      <c r="A42" s="13" t="n"/>
      <c r="B42" s="14">
        <f>IF(A42="","",LEN(A42)-LEN(SUBSTITUTE(A42,".",""))+1)</f>
        <v/>
      </c>
      <c r="C42" s="7" t="n"/>
      <c r="D42" s="14">
        <f>IF(A42="","",IF(OR(B42=1,COUNTIF($A$7:$A$66,A42&amp;".*")&gt;0),"результат","пакет работ"))</f>
        <v/>
      </c>
      <c r="E42" s="7" t="n"/>
      <c r="F42" s="7" t="n"/>
      <c r="G42" s="8" t="n"/>
      <c r="H42" s="8" t="n"/>
      <c r="I42" s="15" t="n"/>
      <c r="J42" s="7">
        <f>IF(A42="","",IF(COUNTIF($A$7:$A$66,A42)&gt;1,"код повторяется",IF(C42="","нет названия",IF(D42="результат",IF(COUNTIF($A$7:$A$66,A42&amp;".*")=0,"разложите на пакеты работ","✓"),IF(E42="","впишите, что предъявляем",IF(F42="","нужен один ответственный",IF(OR(ISNUMBER(SEARCH(",",F42)),ISNUMBER(SEARCH(" и ",F42)),LOWER(F42)="все"),"ответственный — один человек",IF(G42="","оцените длительность","✓"))))))))</f>
        <v/>
      </c>
      <c r="K42" s="16">
        <f>IF(AND(D42="пакет работ",ISNUMBER(G42)),G42*IF(LEFT(LOWER(H42),1)="д",1/7,1),0)</f>
        <v/>
      </c>
    </row>
    <row r="43">
      <c r="A43" s="13" t="n"/>
      <c r="B43" s="14">
        <f>IF(A43="","",LEN(A43)-LEN(SUBSTITUTE(A43,".",""))+1)</f>
        <v/>
      </c>
      <c r="C43" s="7" t="n"/>
      <c r="D43" s="14">
        <f>IF(A43="","",IF(OR(B43=1,COUNTIF($A$7:$A$66,A43&amp;".*")&gt;0),"результат","пакет работ"))</f>
        <v/>
      </c>
      <c r="E43" s="7" t="n"/>
      <c r="F43" s="7" t="n"/>
      <c r="G43" s="8" t="n"/>
      <c r="H43" s="8" t="n"/>
      <c r="I43" s="15" t="n"/>
      <c r="J43" s="7">
        <f>IF(A43="","",IF(COUNTIF($A$7:$A$66,A43)&gt;1,"код повторяется",IF(C43="","нет названия",IF(D43="результат",IF(COUNTIF($A$7:$A$66,A43&amp;".*")=0,"разложите на пакеты работ","✓"),IF(E43="","впишите, что предъявляем",IF(F43="","нужен один ответственный",IF(OR(ISNUMBER(SEARCH(",",F43)),ISNUMBER(SEARCH(" и ",F43)),LOWER(F43)="все"),"ответственный — один человек",IF(G43="","оцените длительность","✓"))))))))</f>
        <v/>
      </c>
      <c r="K43" s="16">
        <f>IF(AND(D43="пакет работ",ISNUMBER(G43)),G43*IF(LEFT(LOWER(H43),1)="д",1/7,1),0)</f>
        <v/>
      </c>
    </row>
    <row r="44">
      <c r="A44" s="13" t="n"/>
      <c r="B44" s="14">
        <f>IF(A44="","",LEN(A44)-LEN(SUBSTITUTE(A44,".",""))+1)</f>
        <v/>
      </c>
      <c r="C44" s="7" t="n"/>
      <c r="D44" s="14">
        <f>IF(A44="","",IF(OR(B44=1,COUNTIF($A$7:$A$66,A44&amp;".*")&gt;0),"результат","пакет работ"))</f>
        <v/>
      </c>
      <c r="E44" s="7" t="n"/>
      <c r="F44" s="7" t="n"/>
      <c r="G44" s="8" t="n"/>
      <c r="H44" s="8" t="n"/>
      <c r="I44" s="15" t="n"/>
      <c r="J44" s="7">
        <f>IF(A44="","",IF(COUNTIF($A$7:$A$66,A44)&gt;1,"код повторяется",IF(C44="","нет названия",IF(D44="результат",IF(COUNTIF($A$7:$A$66,A44&amp;".*")=0,"разложите на пакеты работ","✓"),IF(E44="","впишите, что предъявляем",IF(F44="","нужен один ответственный",IF(OR(ISNUMBER(SEARCH(",",F44)),ISNUMBER(SEARCH(" и ",F44)),LOWER(F44)="все"),"ответственный — один человек",IF(G44="","оцените длительность","✓"))))))))</f>
        <v/>
      </c>
      <c r="K44" s="16">
        <f>IF(AND(D44="пакет работ",ISNUMBER(G44)),G44*IF(LEFT(LOWER(H44),1)="д",1/7,1),0)</f>
        <v/>
      </c>
    </row>
    <row r="45">
      <c r="A45" s="13" t="n"/>
      <c r="B45" s="14">
        <f>IF(A45="","",LEN(A45)-LEN(SUBSTITUTE(A45,".",""))+1)</f>
        <v/>
      </c>
      <c r="C45" s="7" t="n"/>
      <c r="D45" s="14">
        <f>IF(A45="","",IF(OR(B45=1,COUNTIF($A$7:$A$66,A45&amp;".*")&gt;0),"результат","пакет работ"))</f>
        <v/>
      </c>
      <c r="E45" s="7" t="n"/>
      <c r="F45" s="7" t="n"/>
      <c r="G45" s="8" t="n"/>
      <c r="H45" s="8" t="n"/>
      <c r="I45" s="15" t="n"/>
      <c r="J45" s="7">
        <f>IF(A45="","",IF(COUNTIF($A$7:$A$66,A45)&gt;1,"код повторяется",IF(C45="","нет названия",IF(D45="результат",IF(COUNTIF($A$7:$A$66,A45&amp;".*")=0,"разложите на пакеты работ","✓"),IF(E45="","впишите, что предъявляем",IF(F45="","нужен один ответственный",IF(OR(ISNUMBER(SEARCH(",",F45)),ISNUMBER(SEARCH(" и ",F45)),LOWER(F45)="все"),"ответственный — один человек",IF(G45="","оцените длительность","✓"))))))))</f>
        <v/>
      </c>
      <c r="K45" s="16">
        <f>IF(AND(D45="пакет работ",ISNUMBER(G45)),G45*IF(LEFT(LOWER(H45),1)="д",1/7,1),0)</f>
        <v/>
      </c>
    </row>
    <row r="46">
      <c r="A46" s="13" t="n"/>
      <c r="B46" s="14">
        <f>IF(A46="","",LEN(A46)-LEN(SUBSTITUTE(A46,".",""))+1)</f>
        <v/>
      </c>
      <c r="C46" s="7" t="n"/>
      <c r="D46" s="14">
        <f>IF(A46="","",IF(OR(B46=1,COUNTIF($A$7:$A$66,A46&amp;".*")&gt;0),"результат","пакет работ"))</f>
        <v/>
      </c>
      <c r="E46" s="7" t="n"/>
      <c r="F46" s="7" t="n"/>
      <c r="G46" s="8" t="n"/>
      <c r="H46" s="8" t="n"/>
      <c r="I46" s="15" t="n"/>
      <c r="J46" s="7">
        <f>IF(A46="","",IF(COUNTIF($A$7:$A$66,A46)&gt;1,"код повторяется",IF(C46="","нет названия",IF(D46="результат",IF(COUNTIF($A$7:$A$66,A46&amp;".*")=0,"разложите на пакеты работ","✓"),IF(E46="","впишите, что предъявляем",IF(F46="","нужен один ответственный",IF(OR(ISNUMBER(SEARCH(",",F46)),ISNUMBER(SEARCH(" и ",F46)),LOWER(F46)="все"),"ответственный — один человек",IF(G46="","оцените длительность","✓"))))))))</f>
        <v/>
      </c>
      <c r="K46" s="16">
        <f>IF(AND(D46="пакет работ",ISNUMBER(G46)),G46*IF(LEFT(LOWER(H46),1)="д",1/7,1),0)</f>
        <v/>
      </c>
    </row>
    <row r="47">
      <c r="A47" s="13" t="n"/>
      <c r="B47" s="14">
        <f>IF(A47="","",LEN(A47)-LEN(SUBSTITUTE(A47,".",""))+1)</f>
        <v/>
      </c>
      <c r="C47" s="7" t="n"/>
      <c r="D47" s="14">
        <f>IF(A47="","",IF(OR(B47=1,COUNTIF($A$7:$A$66,A47&amp;".*")&gt;0),"результат","пакет работ"))</f>
        <v/>
      </c>
      <c r="E47" s="7" t="n"/>
      <c r="F47" s="7" t="n"/>
      <c r="G47" s="8" t="n"/>
      <c r="H47" s="8" t="n"/>
      <c r="I47" s="15" t="n"/>
      <c r="J47" s="7">
        <f>IF(A47="","",IF(COUNTIF($A$7:$A$66,A47)&gt;1,"код повторяется",IF(C47="","нет названия",IF(D47="результат",IF(COUNTIF($A$7:$A$66,A47&amp;".*")=0,"разложите на пакеты работ","✓"),IF(E47="","впишите, что предъявляем",IF(F47="","нужен один ответственный",IF(OR(ISNUMBER(SEARCH(",",F47)),ISNUMBER(SEARCH(" и ",F47)),LOWER(F47)="все"),"ответственный — один человек",IF(G47="","оцените длительность","✓"))))))))</f>
        <v/>
      </c>
      <c r="K47" s="16">
        <f>IF(AND(D47="пакет работ",ISNUMBER(G47)),G47*IF(LEFT(LOWER(H47),1)="д",1/7,1),0)</f>
        <v/>
      </c>
    </row>
    <row r="48">
      <c r="A48" s="13" t="n"/>
      <c r="B48" s="14">
        <f>IF(A48="","",LEN(A48)-LEN(SUBSTITUTE(A48,".",""))+1)</f>
        <v/>
      </c>
      <c r="C48" s="7" t="n"/>
      <c r="D48" s="14">
        <f>IF(A48="","",IF(OR(B48=1,COUNTIF($A$7:$A$66,A48&amp;".*")&gt;0),"результат","пакет работ"))</f>
        <v/>
      </c>
      <c r="E48" s="7" t="n"/>
      <c r="F48" s="7" t="n"/>
      <c r="G48" s="8" t="n"/>
      <c r="H48" s="8" t="n"/>
      <c r="I48" s="15" t="n"/>
      <c r="J48" s="7">
        <f>IF(A48="","",IF(COUNTIF($A$7:$A$66,A48)&gt;1,"код повторяется",IF(C48="","нет названия",IF(D48="результат",IF(COUNTIF($A$7:$A$66,A48&amp;".*")=0,"разложите на пакеты работ","✓"),IF(E48="","впишите, что предъявляем",IF(F48="","нужен один ответственный",IF(OR(ISNUMBER(SEARCH(",",F48)),ISNUMBER(SEARCH(" и ",F48)),LOWER(F48)="все"),"ответственный — один человек",IF(G48="","оцените длительность","✓"))))))))</f>
        <v/>
      </c>
      <c r="K48" s="16">
        <f>IF(AND(D48="пакет работ",ISNUMBER(G48)),G48*IF(LEFT(LOWER(H48),1)="д",1/7,1),0)</f>
        <v/>
      </c>
    </row>
    <row r="49">
      <c r="A49" s="13" t="n"/>
      <c r="B49" s="14">
        <f>IF(A49="","",LEN(A49)-LEN(SUBSTITUTE(A49,".",""))+1)</f>
        <v/>
      </c>
      <c r="C49" s="7" t="n"/>
      <c r="D49" s="14">
        <f>IF(A49="","",IF(OR(B49=1,COUNTIF($A$7:$A$66,A49&amp;".*")&gt;0),"результат","пакет работ"))</f>
        <v/>
      </c>
      <c r="E49" s="7" t="n"/>
      <c r="F49" s="7" t="n"/>
      <c r="G49" s="8" t="n"/>
      <c r="H49" s="8" t="n"/>
      <c r="I49" s="15" t="n"/>
      <c r="J49" s="7">
        <f>IF(A49="","",IF(COUNTIF($A$7:$A$66,A49)&gt;1,"код повторяется",IF(C49="","нет названия",IF(D49="результат",IF(COUNTIF($A$7:$A$66,A49&amp;".*")=0,"разложите на пакеты работ","✓"),IF(E49="","впишите, что предъявляем",IF(F49="","нужен один ответственный",IF(OR(ISNUMBER(SEARCH(",",F49)),ISNUMBER(SEARCH(" и ",F49)),LOWER(F49)="все"),"ответственный — один человек",IF(G49="","оцените длительность","✓"))))))))</f>
        <v/>
      </c>
      <c r="K49" s="16">
        <f>IF(AND(D49="пакет работ",ISNUMBER(G49)),G49*IF(LEFT(LOWER(H49),1)="д",1/7,1),0)</f>
        <v/>
      </c>
    </row>
    <row r="50">
      <c r="A50" s="13" t="n"/>
      <c r="B50" s="14">
        <f>IF(A50="","",LEN(A50)-LEN(SUBSTITUTE(A50,".",""))+1)</f>
        <v/>
      </c>
      <c r="C50" s="7" t="n"/>
      <c r="D50" s="14">
        <f>IF(A50="","",IF(OR(B50=1,COUNTIF($A$7:$A$66,A50&amp;".*")&gt;0),"результат","пакет работ"))</f>
        <v/>
      </c>
      <c r="E50" s="7" t="n"/>
      <c r="F50" s="7" t="n"/>
      <c r="G50" s="8" t="n"/>
      <c r="H50" s="8" t="n"/>
      <c r="I50" s="15" t="n"/>
      <c r="J50" s="7">
        <f>IF(A50="","",IF(COUNTIF($A$7:$A$66,A50)&gt;1,"код повторяется",IF(C50="","нет названия",IF(D50="результат",IF(COUNTIF($A$7:$A$66,A50&amp;".*")=0,"разложите на пакеты работ","✓"),IF(E50="","впишите, что предъявляем",IF(F50="","нужен один ответственный",IF(OR(ISNUMBER(SEARCH(",",F50)),ISNUMBER(SEARCH(" и ",F50)),LOWER(F50)="все"),"ответственный — один человек",IF(G50="","оцените длительность","✓"))))))))</f>
        <v/>
      </c>
      <c r="K50" s="16">
        <f>IF(AND(D50="пакет работ",ISNUMBER(G50)),G50*IF(LEFT(LOWER(H50),1)="д",1/7,1),0)</f>
        <v/>
      </c>
    </row>
    <row r="51">
      <c r="A51" s="13" t="n"/>
      <c r="B51" s="14">
        <f>IF(A51="","",LEN(A51)-LEN(SUBSTITUTE(A51,".",""))+1)</f>
        <v/>
      </c>
      <c r="C51" s="7" t="n"/>
      <c r="D51" s="14">
        <f>IF(A51="","",IF(OR(B51=1,COUNTIF($A$7:$A$66,A51&amp;".*")&gt;0),"результат","пакет работ"))</f>
        <v/>
      </c>
      <c r="E51" s="7" t="n"/>
      <c r="F51" s="7" t="n"/>
      <c r="G51" s="8" t="n"/>
      <c r="H51" s="8" t="n"/>
      <c r="I51" s="15" t="n"/>
      <c r="J51" s="7">
        <f>IF(A51="","",IF(COUNTIF($A$7:$A$66,A51)&gt;1,"код повторяется",IF(C51="","нет названия",IF(D51="результат",IF(COUNTIF($A$7:$A$66,A51&amp;".*")=0,"разложите на пакеты работ","✓"),IF(E51="","впишите, что предъявляем",IF(F51="","нужен один ответственный",IF(OR(ISNUMBER(SEARCH(",",F51)),ISNUMBER(SEARCH(" и ",F51)),LOWER(F51)="все"),"ответственный — один человек",IF(G51="","оцените длительность","✓"))))))))</f>
        <v/>
      </c>
      <c r="K51" s="16">
        <f>IF(AND(D51="пакет работ",ISNUMBER(G51)),G51*IF(LEFT(LOWER(H51),1)="д",1/7,1),0)</f>
        <v/>
      </c>
    </row>
    <row r="52">
      <c r="A52" s="13" t="n"/>
      <c r="B52" s="14">
        <f>IF(A52="","",LEN(A52)-LEN(SUBSTITUTE(A52,".",""))+1)</f>
        <v/>
      </c>
      <c r="C52" s="7" t="n"/>
      <c r="D52" s="14">
        <f>IF(A52="","",IF(OR(B52=1,COUNTIF($A$7:$A$66,A52&amp;".*")&gt;0),"результат","пакет работ"))</f>
        <v/>
      </c>
      <c r="E52" s="7" t="n"/>
      <c r="F52" s="7" t="n"/>
      <c r="G52" s="8" t="n"/>
      <c r="H52" s="8" t="n"/>
      <c r="I52" s="15" t="n"/>
      <c r="J52" s="7">
        <f>IF(A52="","",IF(COUNTIF($A$7:$A$66,A52)&gt;1,"код повторяется",IF(C52="","нет названия",IF(D52="результат",IF(COUNTIF($A$7:$A$66,A52&amp;".*")=0,"разложите на пакеты работ","✓"),IF(E52="","впишите, что предъявляем",IF(F52="","нужен один ответственный",IF(OR(ISNUMBER(SEARCH(",",F52)),ISNUMBER(SEARCH(" и ",F52)),LOWER(F52)="все"),"ответственный — один человек",IF(G52="","оцените длительность","✓"))))))))</f>
        <v/>
      </c>
      <c r="K52" s="16">
        <f>IF(AND(D52="пакет работ",ISNUMBER(G52)),G52*IF(LEFT(LOWER(H52),1)="д",1/7,1),0)</f>
        <v/>
      </c>
    </row>
    <row r="53">
      <c r="A53" s="13" t="n"/>
      <c r="B53" s="14">
        <f>IF(A53="","",LEN(A53)-LEN(SUBSTITUTE(A53,".",""))+1)</f>
        <v/>
      </c>
      <c r="C53" s="7" t="n"/>
      <c r="D53" s="14">
        <f>IF(A53="","",IF(OR(B53=1,COUNTIF($A$7:$A$66,A53&amp;".*")&gt;0),"результат","пакет работ"))</f>
        <v/>
      </c>
      <c r="E53" s="7" t="n"/>
      <c r="F53" s="7" t="n"/>
      <c r="G53" s="8" t="n"/>
      <c r="H53" s="8" t="n"/>
      <c r="I53" s="15" t="n"/>
      <c r="J53" s="7">
        <f>IF(A53="","",IF(COUNTIF($A$7:$A$66,A53)&gt;1,"код повторяется",IF(C53="","нет названия",IF(D53="результат",IF(COUNTIF($A$7:$A$66,A53&amp;".*")=0,"разложите на пакеты работ","✓"),IF(E53="","впишите, что предъявляем",IF(F53="","нужен один ответственный",IF(OR(ISNUMBER(SEARCH(",",F53)),ISNUMBER(SEARCH(" и ",F53)),LOWER(F53)="все"),"ответственный — один человек",IF(G53="","оцените длительность","✓"))))))))</f>
        <v/>
      </c>
      <c r="K53" s="16">
        <f>IF(AND(D53="пакет работ",ISNUMBER(G53)),G53*IF(LEFT(LOWER(H53),1)="д",1/7,1),0)</f>
        <v/>
      </c>
    </row>
    <row r="54">
      <c r="A54" s="13" t="n"/>
      <c r="B54" s="14">
        <f>IF(A54="","",LEN(A54)-LEN(SUBSTITUTE(A54,".",""))+1)</f>
        <v/>
      </c>
      <c r="C54" s="7" t="n"/>
      <c r="D54" s="14">
        <f>IF(A54="","",IF(OR(B54=1,COUNTIF($A$7:$A$66,A54&amp;".*")&gt;0),"результат","пакет работ"))</f>
        <v/>
      </c>
      <c r="E54" s="7" t="n"/>
      <c r="F54" s="7" t="n"/>
      <c r="G54" s="8" t="n"/>
      <c r="H54" s="8" t="n"/>
      <c r="I54" s="15" t="n"/>
      <c r="J54" s="7">
        <f>IF(A54="","",IF(COUNTIF($A$7:$A$66,A54)&gt;1,"код повторяется",IF(C54="","нет названия",IF(D54="результат",IF(COUNTIF($A$7:$A$66,A54&amp;".*")=0,"разложите на пакеты работ","✓"),IF(E54="","впишите, что предъявляем",IF(F54="","нужен один ответственный",IF(OR(ISNUMBER(SEARCH(",",F54)),ISNUMBER(SEARCH(" и ",F54)),LOWER(F54)="все"),"ответственный — один человек",IF(G54="","оцените длительность","✓"))))))))</f>
        <v/>
      </c>
      <c r="K54" s="16">
        <f>IF(AND(D54="пакет работ",ISNUMBER(G54)),G54*IF(LEFT(LOWER(H54),1)="д",1/7,1),0)</f>
        <v/>
      </c>
    </row>
    <row r="55">
      <c r="A55" s="13" t="n"/>
      <c r="B55" s="14">
        <f>IF(A55="","",LEN(A55)-LEN(SUBSTITUTE(A55,".",""))+1)</f>
        <v/>
      </c>
      <c r="C55" s="7" t="n"/>
      <c r="D55" s="14">
        <f>IF(A55="","",IF(OR(B55=1,COUNTIF($A$7:$A$66,A55&amp;".*")&gt;0),"результат","пакет работ"))</f>
        <v/>
      </c>
      <c r="E55" s="7" t="n"/>
      <c r="F55" s="7" t="n"/>
      <c r="G55" s="8" t="n"/>
      <c r="H55" s="8" t="n"/>
      <c r="I55" s="15" t="n"/>
      <c r="J55" s="7">
        <f>IF(A55="","",IF(COUNTIF($A$7:$A$66,A55)&gt;1,"код повторяется",IF(C55="","нет названия",IF(D55="результат",IF(COUNTIF($A$7:$A$66,A55&amp;".*")=0,"разложите на пакеты работ","✓"),IF(E55="","впишите, что предъявляем",IF(F55="","нужен один ответственный",IF(OR(ISNUMBER(SEARCH(",",F55)),ISNUMBER(SEARCH(" и ",F55)),LOWER(F55)="все"),"ответственный — один человек",IF(G55="","оцените длительность","✓"))))))))</f>
        <v/>
      </c>
      <c r="K55" s="16">
        <f>IF(AND(D55="пакет работ",ISNUMBER(G55)),G55*IF(LEFT(LOWER(H55),1)="д",1/7,1),0)</f>
        <v/>
      </c>
    </row>
    <row r="56">
      <c r="A56" s="13" t="n"/>
      <c r="B56" s="14">
        <f>IF(A56="","",LEN(A56)-LEN(SUBSTITUTE(A56,".",""))+1)</f>
        <v/>
      </c>
      <c r="C56" s="7" t="n"/>
      <c r="D56" s="14">
        <f>IF(A56="","",IF(OR(B56=1,COUNTIF($A$7:$A$66,A56&amp;".*")&gt;0),"результат","пакет работ"))</f>
        <v/>
      </c>
      <c r="E56" s="7" t="n"/>
      <c r="F56" s="7" t="n"/>
      <c r="G56" s="8" t="n"/>
      <c r="H56" s="8" t="n"/>
      <c r="I56" s="15" t="n"/>
      <c r="J56" s="7">
        <f>IF(A56="","",IF(COUNTIF($A$7:$A$66,A56)&gt;1,"код повторяется",IF(C56="","нет названия",IF(D56="результат",IF(COUNTIF($A$7:$A$66,A56&amp;".*")=0,"разложите на пакеты работ","✓"),IF(E56="","впишите, что предъявляем",IF(F56="","нужен один ответственный",IF(OR(ISNUMBER(SEARCH(",",F56)),ISNUMBER(SEARCH(" и ",F56)),LOWER(F56)="все"),"ответственный — один человек",IF(G56="","оцените длительность","✓"))))))))</f>
        <v/>
      </c>
      <c r="K56" s="16">
        <f>IF(AND(D56="пакет работ",ISNUMBER(G56)),G56*IF(LEFT(LOWER(H56),1)="д",1/7,1),0)</f>
        <v/>
      </c>
    </row>
    <row r="57">
      <c r="A57" s="13" t="n"/>
      <c r="B57" s="14">
        <f>IF(A57="","",LEN(A57)-LEN(SUBSTITUTE(A57,".",""))+1)</f>
        <v/>
      </c>
      <c r="C57" s="7" t="n"/>
      <c r="D57" s="14">
        <f>IF(A57="","",IF(OR(B57=1,COUNTIF($A$7:$A$66,A57&amp;".*")&gt;0),"результат","пакет работ"))</f>
        <v/>
      </c>
      <c r="E57" s="7" t="n"/>
      <c r="F57" s="7" t="n"/>
      <c r="G57" s="8" t="n"/>
      <c r="H57" s="8" t="n"/>
      <c r="I57" s="15" t="n"/>
      <c r="J57" s="7">
        <f>IF(A57="","",IF(COUNTIF($A$7:$A$66,A57)&gt;1,"код повторяется",IF(C57="","нет названия",IF(D57="результат",IF(COUNTIF($A$7:$A$66,A57&amp;".*")=0,"разложите на пакеты работ","✓"),IF(E57="","впишите, что предъявляем",IF(F57="","нужен один ответственный",IF(OR(ISNUMBER(SEARCH(",",F57)),ISNUMBER(SEARCH(" и ",F57)),LOWER(F57)="все"),"ответственный — один человек",IF(G57="","оцените длительность","✓"))))))))</f>
        <v/>
      </c>
      <c r="K57" s="16">
        <f>IF(AND(D57="пакет работ",ISNUMBER(G57)),G57*IF(LEFT(LOWER(H57),1)="д",1/7,1),0)</f>
        <v/>
      </c>
    </row>
    <row r="58">
      <c r="A58" s="13" t="n"/>
      <c r="B58" s="14">
        <f>IF(A58="","",LEN(A58)-LEN(SUBSTITUTE(A58,".",""))+1)</f>
        <v/>
      </c>
      <c r="C58" s="7" t="n"/>
      <c r="D58" s="14">
        <f>IF(A58="","",IF(OR(B58=1,COUNTIF($A$7:$A$66,A58&amp;".*")&gt;0),"результат","пакет работ"))</f>
        <v/>
      </c>
      <c r="E58" s="7" t="n"/>
      <c r="F58" s="7" t="n"/>
      <c r="G58" s="8" t="n"/>
      <c r="H58" s="8" t="n"/>
      <c r="I58" s="15" t="n"/>
      <c r="J58" s="7">
        <f>IF(A58="","",IF(COUNTIF($A$7:$A$66,A58)&gt;1,"код повторяется",IF(C58="","нет названия",IF(D58="результат",IF(COUNTIF($A$7:$A$66,A58&amp;".*")=0,"разложите на пакеты работ","✓"),IF(E58="","впишите, что предъявляем",IF(F58="","нужен один ответственный",IF(OR(ISNUMBER(SEARCH(",",F58)),ISNUMBER(SEARCH(" и ",F58)),LOWER(F58)="все"),"ответственный — один человек",IF(G58="","оцените длительность","✓"))))))))</f>
        <v/>
      </c>
      <c r="K58" s="16">
        <f>IF(AND(D58="пакет работ",ISNUMBER(G58)),G58*IF(LEFT(LOWER(H58),1)="д",1/7,1),0)</f>
        <v/>
      </c>
    </row>
    <row r="59">
      <c r="A59" s="13" t="n"/>
      <c r="B59" s="14">
        <f>IF(A59="","",LEN(A59)-LEN(SUBSTITUTE(A59,".",""))+1)</f>
        <v/>
      </c>
      <c r="C59" s="7" t="n"/>
      <c r="D59" s="14">
        <f>IF(A59="","",IF(OR(B59=1,COUNTIF($A$7:$A$66,A59&amp;".*")&gt;0),"результат","пакет работ"))</f>
        <v/>
      </c>
      <c r="E59" s="7" t="n"/>
      <c r="F59" s="7" t="n"/>
      <c r="G59" s="8" t="n"/>
      <c r="H59" s="8" t="n"/>
      <c r="I59" s="15" t="n"/>
      <c r="J59" s="7">
        <f>IF(A59="","",IF(COUNTIF($A$7:$A$66,A59)&gt;1,"код повторяется",IF(C59="","нет названия",IF(D59="результат",IF(COUNTIF($A$7:$A$66,A59&amp;".*")=0,"разложите на пакеты работ","✓"),IF(E59="","впишите, что предъявляем",IF(F59="","нужен один ответственный",IF(OR(ISNUMBER(SEARCH(",",F59)),ISNUMBER(SEARCH(" и ",F59)),LOWER(F59)="все"),"ответственный — один человек",IF(G59="","оцените длительность","✓"))))))))</f>
        <v/>
      </c>
      <c r="K59" s="16">
        <f>IF(AND(D59="пакет работ",ISNUMBER(G59)),G59*IF(LEFT(LOWER(H59),1)="д",1/7,1),0)</f>
        <v/>
      </c>
    </row>
    <row r="60">
      <c r="A60" s="13" t="n"/>
      <c r="B60" s="14">
        <f>IF(A60="","",LEN(A60)-LEN(SUBSTITUTE(A60,".",""))+1)</f>
        <v/>
      </c>
      <c r="C60" s="7" t="n"/>
      <c r="D60" s="14">
        <f>IF(A60="","",IF(OR(B60=1,COUNTIF($A$7:$A$66,A60&amp;".*")&gt;0),"результат","пакет работ"))</f>
        <v/>
      </c>
      <c r="E60" s="7" t="n"/>
      <c r="F60" s="7" t="n"/>
      <c r="G60" s="8" t="n"/>
      <c r="H60" s="8" t="n"/>
      <c r="I60" s="15" t="n"/>
      <c r="J60" s="7">
        <f>IF(A60="","",IF(COUNTIF($A$7:$A$66,A60)&gt;1,"код повторяется",IF(C60="","нет названия",IF(D60="результат",IF(COUNTIF($A$7:$A$66,A60&amp;".*")=0,"разложите на пакеты работ","✓"),IF(E60="","впишите, что предъявляем",IF(F60="","нужен один ответственный",IF(OR(ISNUMBER(SEARCH(",",F60)),ISNUMBER(SEARCH(" и ",F60)),LOWER(F60)="все"),"ответственный — один человек",IF(G60="","оцените длительность","✓"))))))))</f>
        <v/>
      </c>
      <c r="K60" s="16">
        <f>IF(AND(D60="пакет работ",ISNUMBER(G60)),G60*IF(LEFT(LOWER(H60),1)="д",1/7,1),0)</f>
        <v/>
      </c>
    </row>
    <row r="61">
      <c r="A61" s="13" t="n"/>
      <c r="B61" s="14">
        <f>IF(A61="","",LEN(A61)-LEN(SUBSTITUTE(A61,".",""))+1)</f>
        <v/>
      </c>
      <c r="C61" s="7" t="n"/>
      <c r="D61" s="14">
        <f>IF(A61="","",IF(OR(B61=1,COUNTIF($A$7:$A$66,A61&amp;".*")&gt;0),"результат","пакет работ"))</f>
        <v/>
      </c>
      <c r="E61" s="7" t="n"/>
      <c r="F61" s="7" t="n"/>
      <c r="G61" s="8" t="n"/>
      <c r="H61" s="8" t="n"/>
      <c r="I61" s="15" t="n"/>
      <c r="J61" s="7">
        <f>IF(A61="","",IF(COUNTIF($A$7:$A$66,A61)&gt;1,"код повторяется",IF(C61="","нет названия",IF(D61="результат",IF(COUNTIF($A$7:$A$66,A61&amp;".*")=0,"разложите на пакеты работ","✓"),IF(E61="","впишите, что предъявляем",IF(F61="","нужен один ответственный",IF(OR(ISNUMBER(SEARCH(",",F61)),ISNUMBER(SEARCH(" и ",F61)),LOWER(F61)="все"),"ответственный — один человек",IF(G61="","оцените длительность","✓"))))))))</f>
        <v/>
      </c>
      <c r="K61" s="16">
        <f>IF(AND(D61="пакет работ",ISNUMBER(G61)),G61*IF(LEFT(LOWER(H61),1)="д",1/7,1),0)</f>
        <v/>
      </c>
    </row>
    <row r="62">
      <c r="A62" s="13" t="n"/>
      <c r="B62" s="14">
        <f>IF(A62="","",LEN(A62)-LEN(SUBSTITUTE(A62,".",""))+1)</f>
        <v/>
      </c>
      <c r="C62" s="7" t="n"/>
      <c r="D62" s="14">
        <f>IF(A62="","",IF(OR(B62=1,COUNTIF($A$7:$A$66,A62&amp;".*")&gt;0),"результат","пакет работ"))</f>
        <v/>
      </c>
      <c r="E62" s="7" t="n"/>
      <c r="F62" s="7" t="n"/>
      <c r="G62" s="8" t="n"/>
      <c r="H62" s="8" t="n"/>
      <c r="I62" s="15" t="n"/>
      <c r="J62" s="7">
        <f>IF(A62="","",IF(COUNTIF($A$7:$A$66,A62)&gt;1,"код повторяется",IF(C62="","нет названия",IF(D62="результат",IF(COUNTIF($A$7:$A$66,A62&amp;".*")=0,"разложите на пакеты работ","✓"),IF(E62="","впишите, что предъявляем",IF(F62="","нужен один ответственный",IF(OR(ISNUMBER(SEARCH(",",F62)),ISNUMBER(SEARCH(" и ",F62)),LOWER(F62)="все"),"ответственный — один человек",IF(G62="","оцените длительность","✓"))))))))</f>
        <v/>
      </c>
      <c r="K62" s="16">
        <f>IF(AND(D62="пакет работ",ISNUMBER(G62)),G62*IF(LEFT(LOWER(H62),1)="д",1/7,1),0)</f>
        <v/>
      </c>
    </row>
    <row r="63">
      <c r="A63" s="13" t="n"/>
      <c r="B63" s="14">
        <f>IF(A63="","",LEN(A63)-LEN(SUBSTITUTE(A63,".",""))+1)</f>
        <v/>
      </c>
      <c r="C63" s="7" t="n"/>
      <c r="D63" s="14">
        <f>IF(A63="","",IF(OR(B63=1,COUNTIF($A$7:$A$66,A63&amp;".*")&gt;0),"результат","пакет работ"))</f>
        <v/>
      </c>
      <c r="E63" s="7" t="n"/>
      <c r="F63" s="7" t="n"/>
      <c r="G63" s="8" t="n"/>
      <c r="H63" s="8" t="n"/>
      <c r="I63" s="15" t="n"/>
      <c r="J63" s="7">
        <f>IF(A63="","",IF(COUNTIF($A$7:$A$66,A63)&gt;1,"код повторяется",IF(C63="","нет названия",IF(D63="результат",IF(COUNTIF($A$7:$A$66,A63&amp;".*")=0,"разложите на пакеты работ","✓"),IF(E63="","впишите, что предъявляем",IF(F63="","нужен один ответственный",IF(OR(ISNUMBER(SEARCH(",",F63)),ISNUMBER(SEARCH(" и ",F63)),LOWER(F63)="все"),"ответственный — один человек",IF(G63="","оцените длительность","✓"))))))))</f>
        <v/>
      </c>
      <c r="K63" s="16">
        <f>IF(AND(D63="пакет работ",ISNUMBER(G63)),G63*IF(LEFT(LOWER(H63),1)="д",1/7,1),0)</f>
        <v/>
      </c>
    </row>
    <row r="64">
      <c r="A64" s="13" t="n"/>
      <c r="B64" s="14">
        <f>IF(A64="","",LEN(A64)-LEN(SUBSTITUTE(A64,".",""))+1)</f>
        <v/>
      </c>
      <c r="C64" s="7" t="n"/>
      <c r="D64" s="14">
        <f>IF(A64="","",IF(OR(B64=1,COUNTIF($A$7:$A$66,A64&amp;".*")&gt;0),"результат","пакет работ"))</f>
        <v/>
      </c>
      <c r="E64" s="7" t="n"/>
      <c r="F64" s="7" t="n"/>
      <c r="G64" s="8" t="n"/>
      <c r="H64" s="8" t="n"/>
      <c r="I64" s="15" t="n"/>
      <c r="J64" s="7">
        <f>IF(A64="","",IF(COUNTIF($A$7:$A$66,A64)&gt;1,"код повторяется",IF(C64="","нет названия",IF(D64="результат",IF(COUNTIF($A$7:$A$66,A64&amp;".*")=0,"разложите на пакеты работ","✓"),IF(E64="","впишите, что предъявляем",IF(F64="","нужен один ответственный",IF(OR(ISNUMBER(SEARCH(",",F64)),ISNUMBER(SEARCH(" и ",F64)),LOWER(F64)="все"),"ответственный — один человек",IF(G64="","оцените длительность","✓"))))))))</f>
        <v/>
      </c>
      <c r="K64" s="16">
        <f>IF(AND(D64="пакет работ",ISNUMBER(G64)),G64*IF(LEFT(LOWER(H64),1)="д",1/7,1),0)</f>
        <v/>
      </c>
    </row>
    <row r="65">
      <c r="A65" s="13" t="n"/>
      <c r="B65" s="14">
        <f>IF(A65="","",LEN(A65)-LEN(SUBSTITUTE(A65,".",""))+1)</f>
        <v/>
      </c>
      <c r="C65" s="7" t="n"/>
      <c r="D65" s="14">
        <f>IF(A65="","",IF(OR(B65=1,COUNTIF($A$7:$A$66,A65&amp;".*")&gt;0),"результат","пакет работ"))</f>
        <v/>
      </c>
      <c r="E65" s="7" t="n"/>
      <c r="F65" s="7" t="n"/>
      <c r="G65" s="8" t="n"/>
      <c r="H65" s="8" t="n"/>
      <c r="I65" s="15" t="n"/>
      <c r="J65" s="7">
        <f>IF(A65="","",IF(COUNTIF($A$7:$A$66,A65)&gt;1,"код повторяется",IF(C65="","нет названия",IF(D65="результат",IF(COUNTIF($A$7:$A$66,A65&amp;".*")=0,"разложите на пакеты работ","✓"),IF(E65="","впишите, что предъявляем",IF(F65="","нужен один ответственный",IF(OR(ISNUMBER(SEARCH(",",F65)),ISNUMBER(SEARCH(" и ",F65)),LOWER(F65)="все"),"ответственный — один человек",IF(G65="","оцените длительность","✓"))))))))</f>
        <v/>
      </c>
      <c r="K65" s="16">
        <f>IF(AND(D65="пакет работ",ISNUMBER(G65)),G65*IF(LEFT(LOWER(H65),1)="д",1/7,1),0)</f>
        <v/>
      </c>
    </row>
    <row r="66">
      <c r="A66" s="13" t="n"/>
      <c r="B66" s="14">
        <f>IF(A66="","",LEN(A66)-LEN(SUBSTITUTE(A66,".",""))+1)</f>
        <v/>
      </c>
      <c r="C66" s="7" t="n"/>
      <c r="D66" s="14">
        <f>IF(A66="","",IF(OR(B66=1,COUNTIF($A$7:$A$66,A66&amp;".*")&gt;0),"результат","пакет работ"))</f>
        <v/>
      </c>
      <c r="E66" s="7" t="n"/>
      <c r="F66" s="7" t="n"/>
      <c r="G66" s="8" t="n"/>
      <c r="H66" s="8" t="n"/>
      <c r="I66" s="15" t="n"/>
      <c r="J66" s="7">
        <f>IF(A66="","",IF(COUNTIF($A$7:$A$66,A66)&gt;1,"код повторяется",IF(C66="","нет названия",IF(D66="результат",IF(COUNTIF($A$7:$A$66,A66&amp;".*")=0,"разложите на пакеты работ","✓"),IF(E66="","впишите, что предъявляем",IF(F66="","нужен один ответственный",IF(OR(ISNUMBER(SEARCH(",",F66)),ISNUMBER(SEARCH(" и ",F66)),LOWER(F66)="все"),"ответственный — один человек",IF(G66="","оцените длительность","✓"))))))))</f>
        <v/>
      </c>
      <c r="K66" s="16">
        <f>IF(AND(D66="пакет работ",ISNUMBER(G66)),G66*IF(LEFT(LOWER(H66),1)="д",1/7,1),0)</f>
        <v/>
      </c>
    </row>
  </sheetData>
  <mergeCells count="6">
    <mergeCell ref="A4:B4"/>
    <mergeCell ref="G4:H4"/>
    <mergeCell ref="I3:J4"/>
    <mergeCell ref="B2:E2"/>
    <mergeCell ref="A3:B3"/>
    <mergeCell ref="G3:H3"/>
  </mergeCells>
  <conditionalFormatting sqref="A7:J66">
    <cfRule type="expression" priority="1" dxfId="0">
      <formula>$D7="результат"</formula>
    </cfRule>
  </conditionalFormatting>
  <conditionalFormatting sqref="J7:J66">
    <cfRule type="expression" priority="2" dxfId="1">
      <formula>AND(J7&lt;&gt;"",J7&lt;&gt;"✓")</formula>
    </cfRule>
    <cfRule type="expression" priority="3" dxfId="2">
      <formula>J7="✓"</formula>
    </cfRule>
  </conditionalFormatting>
  <conditionalFormatting sqref="E4">
    <cfRule type="expression" priority="4" dxfId="1">
      <formula>E4="добавьте"</formula>
    </cfRule>
  </conditionalFormatting>
  <conditionalFormatting sqref="F4">
    <cfRule type="expression" priority="5" dxfId="1">
      <formula>F4="добавьте"</formula>
    </cfRule>
  </conditionalFormatting>
  <conditionalFormatting sqref="D4">
    <cfRule type="expression" priority="6" dxfId="1">
      <formula>D4&gt;0</formula>
    </cfRule>
  </conditionalFormatting>
  <dataValidations count="2">
    <dataValidation sqref="H7:H66" showDropDown="0" showInputMessage="0" showErrorMessage="1" allowBlank="1" errorTitle="Единица" error="Выберите из списка: недель или дней." type="list" errorStyle="stop">
      <formula1>"недель,дней"</formula1>
    </dataValidation>
    <dataValidation sqref="F7:F66" showDropDown="0" showInputMessage="0" showErrorMessage="1" allowBlank="1" errorTitle="Ответственный" error="Этого человека нет на листе «Команда». Ответственный — один человек." type="list" errorStyle="warning">
      <formula1>Команда!$A$5:$A$10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FF7F8C9A"/>
    <outlinePr summaryBelow="1" summaryRight="1"/>
    <pageSetUpPr fitToPage="1"/>
  </sheetPr>
  <dimension ref="A1:K6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40" customWidth="1" min="3" max="3"/>
    <col width="14" customWidth="1" min="4" max="4"/>
    <col width="36" customWidth="1" min="5" max="5"/>
    <col width="20" customWidth="1" min="6" max="6"/>
    <col width="12" customWidth="1" min="7" max="7"/>
    <col width="9" customWidth="1" min="8" max="8"/>
    <col width="16" customWidth="1" min="9" max="9"/>
    <col width="30" customWidth="1" min="10" max="10"/>
    <col hidden="1" width="8" customWidth="1" min="11" max="11"/>
  </cols>
  <sheetData>
    <row r="1">
      <c r="A1" s="4" t="inlineStr">
        <is>
          <t>Пример: WBS умного горшка</t>
        </is>
      </c>
    </row>
    <row r="2">
      <c r="A2" s="9" t="inlineStr">
        <is>
          <t>Проект:</t>
        </is>
      </c>
      <c r="B2" s="10" t="inlineStr">
        <is>
          <t>Умный горшок: датчик влажности с индикатором</t>
        </is>
      </c>
    </row>
    <row r="3">
      <c r="A3" s="11" t="inlineStr">
        <is>
          <t>Результатов</t>
        </is>
      </c>
      <c r="C3" s="11" t="inlineStr">
        <is>
          <t>Пакетов работ</t>
        </is>
      </c>
      <c r="D3" s="11" t="inlineStr">
        <is>
          <t>Замечаний</t>
        </is>
      </c>
      <c r="E3" s="11" t="inlineStr">
        <is>
          <t>«Отчёт и защита»</t>
        </is>
      </c>
      <c r="F3" s="11" t="inlineStr">
        <is>
          <t>«Управление проектом»</t>
        </is>
      </c>
      <c r="G3" s="11" t="inlineStr">
        <is>
          <t>Сумма, недель</t>
        </is>
      </c>
      <c r="I3" s="5" t="inlineStr">
        <is>
          <t>Сумма — если делать всё по очереди. Реальный срок покажет диаграмма Ганта.</t>
        </is>
      </c>
    </row>
    <row r="4">
      <c r="A4" s="12">
        <f>COUNTIFS($B$7:$B$66,1)</f>
        <v/>
      </c>
      <c r="C4" s="12">
        <f>COUNTIF($D$7:$D$66,"пакет работ")</f>
        <v/>
      </c>
      <c r="D4" s="12">
        <f>COUNTIF($J$7:$J$66,"?*")-COUNTIF($J$7:$J$66,"✓")</f>
        <v/>
      </c>
      <c r="E4" s="12">
        <f>IF(COUNTIFS($B$7:$B$66,1,$C$7:$C$66,"*отч*")&gt;0,"✓ есть","добавьте")</f>
        <v/>
      </c>
      <c r="F4" s="12">
        <f>IF(COUNTIFS($B$7:$B$66,1,$C$7:$C$66,"*управл*")&gt;0,"✓ есть","добавьте")</f>
        <v/>
      </c>
      <c r="G4" s="12">
        <f>ROUND(SUM($K$7:$K$66),1)</f>
        <v/>
      </c>
    </row>
    <row r="6" ht="42" customHeight="1">
      <c r="A6" s="6" t="inlineStr">
        <is>
          <t>Код</t>
        </is>
      </c>
      <c r="B6" s="6" t="inlineStr">
        <is>
          <t>Уровень</t>
        </is>
      </c>
      <c r="C6" s="6" t="inlineStr">
        <is>
          <t>Элемент WBS: результат или пакет работ (существительным)</t>
        </is>
      </c>
      <c r="D6" s="6" t="inlineStr">
        <is>
          <t>Тип</t>
        </is>
      </c>
      <c r="E6" s="6" t="inlineStr">
        <is>
          <t>Что предъявляем: предмет, документ, данные</t>
        </is>
      </c>
      <c r="F6" s="6" t="inlineStr">
        <is>
          <t>Ответственный (один)</t>
        </is>
      </c>
      <c r="G6" s="6" t="inlineStr">
        <is>
          <t>Длительность</t>
        </is>
      </c>
      <c r="H6" s="6" t="inlineStr">
        <is>
          <t>Ед.</t>
        </is>
      </c>
      <c r="I6" s="6" t="inlineStr">
        <is>
          <t>Зависит от (коды) — на следующей паре</t>
        </is>
      </c>
      <c r="J6" s="6" t="inlineStr">
        <is>
          <t>Проверка</t>
        </is>
      </c>
      <c r="K6" s="6" t="inlineStr">
        <is>
          <t>недель</t>
        </is>
      </c>
    </row>
    <row r="7">
      <c r="A7" s="13" t="inlineStr">
        <is>
          <t>1</t>
        </is>
      </c>
      <c r="B7" s="14">
        <f>IF(A7="","",LEN(A7)-LEN(SUBSTITUTE(A7,".",""))+1)</f>
        <v/>
      </c>
      <c r="C7" s="7" t="inlineStr">
        <is>
          <t>Прототип датчика с индикатором</t>
        </is>
      </c>
      <c r="D7" s="14">
        <f>IF(A7="","",IF(OR(B7=1,COUNTIF($A$7:$A$66,A7&amp;".*")&gt;0),"результат","пакет работ"))</f>
        <v/>
      </c>
      <c r="E7" s="7" t="inlineStr"/>
      <c r="F7" s="7" t="inlineStr"/>
      <c r="G7" s="8" t="n"/>
      <c r="H7" s="8" t="inlineStr"/>
      <c r="I7" s="15" t="n"/>
      <c r="J7" s="7">
        <f>IF(A7="","",IF(COUNTIF($A$7:$A$66,A7)&gt;1,"код повторяется",IF(C7="","нет названия",IF(D7="результат",IF(COUNTIF($A$7:$A$66,A7&amp;".*")=0,"разложите на пакеты работ","✓"),IF(E7="","впишите, что предъявляем",IF(F7="","нужен один ответственный",IF(OR(ISNUMBER(SEARCH(",",F7)),ISNUMBER(SEARCH(" и ",F7)),LOWER(F7)="все"),"ответственный — один человек",IF(G7="","оцените длительность","✓"))))))))</f>
        <v/>
      </c>
      <c r="K7" s="16">
        <f>IF(AND(D7="пакет работ",ISNUMBER(G7)),G7*IF(LEFT(LOWER(H7),1)="д",1/7,1),0)</f>
        <v/>
      </c>
    </row>
    <row r="8">
      <c r="A8" s="13" t="inlineStr">
        <is>
          <t>1.1</t>
        </is>
      </c>
      <c r="B8" s="14">
        <f>IF(A8="","",LEN(A8)-LEN(SUBSTITUTE(A8,".",""))+1)</f>
        <v/>
      </c>
      <c r="C8" s="7" t="inlineStr">
        <is>
          <t>Компоненты подобраны и куплены</t>
        </is>
      </c>
      <c r="D8" s="14">
        <f>IF(A8="","",IF(OR(B8=1,COUNTIF($A$7:$A$66,A8&amp;".*")&gt;0),"результат","пакет работ"))</f>
        <v/>
      </c>
      <c r="E8" s="7" t="inlineStr">
        <is>
          <t>список компонентов с ценами, не дороже 1500 ₽</t>
        </is>
      </c>
      <c r="F8" s="7" t="inlineStr">
        <is>
          <t>аналитик</t>
        </is>
      </c>
      <c r="G8" s="8" t="n">
        <v>1</v>
      </c>
      <c r="H8" s="8" t="inlineStr">
        <is>
          <t>недель</t>
        </is>
      </c>
      <c r="I8" s="15" t="n"/>
      <c r="J8" s="7">
        <f>IF(A8="","",IF(COUNTIF($A$7:$A$66,A8)&gt;1,"код повторяется",IF(C8="","нет названия",IF(D8="результат",IF(COUNTIF($A$7:$A$66,A8&amp;".*")=0,"разложите на пакеты работ","✓"),IF(E8="","впишите, что предъявляем",IF(F8="","нужен один ответственный",IF(OR(ISNUMBER(SEARCH(",",F8)),ISNUMBER(SEARCH(" и ",F8)),LOWER(F8)="все"),"ответственный — один человек",IF(G8="","оцените длительность","✓"))))))))</f>
        <v/>
      </c>
      <c r="K8" s="16">
        <f>IF(AND(D8="пакет работ",ISNUMBER(G8)),G8*IF(LEFT(LOWER(H8),1)="д",1/7,1),0)</f>
        <v/>
      </c>
    </row>
    <row r="9">
      <c r="A9" s="13" t="inlineStr">
        <is>
          <t>1.2</t>
        </is>
      </c>
      <c r="B9" s="14">
        <f>IF(A9="","",LEN(A9)-LEN(SUBSTITUTE(A9,".",""))+1)</f>
        <v/>
      </c>
      <c r="C9" s="7" t="inlineStr">
        <is>
          <t>Схема собрана и проверена на столе</t>
        </is>
      </c>
      <c r="D9" s="14">
        <f>IF(A9="","",IF(OR(B9=1,COUNTIF($A$7:$A$66,A9&amp;".*")&gt;0),"результат","пакет работ"))</f>
        <v/>
      </c>
      <c r="E9" s="7" t="inlineStr">
        <is>
          <t>фото схемы, показания на трёх образцах почвы</t>
        </is>
      </c>
      <c r="F9" s="7" t="inlineStr">
        <is>
          <t>технический эксперт</t>
        </is>
      </c>
      <c r="G9" s="8" t="n">
        <v>1</v>
      </c>
      <c r="H9" s="8" t="inlineStr">
        <is>
          <t>недель</t>
        </is>
      </c>
      <c r="I9" s="15" t="n"/>
      <c r="J9" s="7">
        <f>IF(A9="","",IF(COUNTIF($A$7:$A$66,A9)&gt;1,"код повторяется",IF(C9="","нет названия",IF(D9="результат",IF(COUNTIF($A$7:$A$66,A9&amp;".*")=0,"разложите на пакеты работ","✓"),IF(E9="","впишите, что предъявляем",IF(F9="","нужен один ответственный",IF(OR(ISNUMBER(SEARCH(",",F9)),ISNUMBER(SEARCH(" и ",F9)),LOWER(F9)="все"),"ответственный — один человек",IF(G9="","оцените длительность","✓"))))))))</f>
        <v/>
      </c>
      <c r="K9" s="16">
        <f>IF(AND(D9="пакет работ",ISNUMBER(G9)),G9*IF(LEFT(LOWER(H9),1)="д",1/7,1),0)</f>
        <v/>
      </c>
    </row>
    <row r="10">
      <c r="A10" s="13" t="inlineStr">
        <is>
          <t>1.3</t>
        </is>
      </c>
      <c r="B10" s="14">
        <f>IF(A10="","",LEN(A10)-LEN(SUBSTITUTE(A10,".",""))+1)</f>
        <v/>
      </c>
      <c r="C10" s="7" t="inlineStr">
        <is>
          <t>Программа: порог влажности включает индикатор</t>
        </is>
      </c>
      <c r="D10" s="14">
        <f>IF(A10="","",IF(OR(B10=1,COUNTIF($A$7:$A$66,A10&amp;".*")&gt;0),"результат","пакет работ"))</f>
        <v/>
      </c>
      <c r="E10" s="7" t="inlineStr">
        <is>
          <t>код программы</t>
        </is>
      </c>
      <c r="F10" s="7" t="inlineStr">
        <is>
          <t>технический эксперт</t>
        </is>
      </c>
      <c r="G10" s="8" t="n">
        <v>1</v>
      </c>
      <c r="H10" s="8" t="inlineStr">
        <is>
          <t>недель</t>
        </is>
      </c>
      <c r="I10" s="15" t="n"/>
      <c r="J10" s="7">
        <f>IF(A10="","",IF(COUNTIF($A$7:$A$66,A10)&gt;1,"код повторяется",IF(C10="","нет названия",IF(D10="результат",IF(COUNTIF($A$7:$A$66,A10&amp;".*")=0,"разложите на пакеты работ","✓"),IF(E10="","впишите, что предъявляем",IF(F10="","нужен один ответственный",IF(OR(ISNUMBER(SEARCH(",",F10)),ISNUMBER(SEARCH(" и ",F10)),LOWER(F10)="все"),"ответственный — один человек",IF(G10="","оцените длительность","✓"))))))))</f>
        <v/>
      </c>
      <c r="K10" s="16">
        <f>IF(AND(D10="пакет работ",ISNUMBER(G10)),G10*IF(LEFT(LOWER(H10),1)="д",1/7,1),0)</f>
        <v/>
      </c>
    </row>
    <row r="11">
      <c r="A11" s="13" t="inlineStr">
        <is>
          <t>1.4</t>
        </is>
      </c>
      <c r="B11" s="14">
        <f>IF(A11="","",LEN(A11)-LEN(SUBSTITUTE(A11,".",""))+1)</f>
        <v/>
      </c>
      <c r="C11" s="7" t="inlineStr">
        <is>
          <t>Корпус с индикатором</t>
        </is>
      </c>
      <c r="D11" s="14">
        <f>IF(A11="","",IF(OR(B11=1,COUNTIF($A$7:$A$66,A11&amp;".*")&gt;0),"результат","пакет работ"))</f>
        <v/>
      </c>
      <c r="E11" s="7" t="inlineStr">
        <is>
          <t>корпус, установленный в горшок</t>
        </is>
      </c>
      <c r="F11" s="7" t="inlineStr">
        <is>
          <t>лидер</t>
        </is>
      </c>
      <c r="G11" s="8" t="n">
        <v>1</v>
      </c>
      <c r="H11" s="8" t="inlineStr">
        <is>
          <t>недель</t>
        </is>
      </c>
      <c r="I11" s="15" t="n"/>
      <c r="J11" s="7">
        <f>IF(A11="","",IF(COUNTIF($A$7:$A$66,A11)&gt;1,"код повторяется",IF(C11="","нет названия",IF(D11="результат",IF(COUNTIF($A$7:$A$66,A11&amp;".*")=0,"разложите на пакеты работ","✓"),IF(E11="","впишите, что предъявляем",IF(F11="","нужен один ответственный",IF(OR(ISNUMBER(SEARCH(",",F11)),ISNUMBER(SEARCH(" и ",F11)),LOWER(F11)="все"),"ответственный — один человек",IF(G11="","оцените длительность","✓"))))))))</f>
        <v/>
      </c>
      <c r="K11" s="16">
        <f>IF(AND(D11="пакет работ",ISNUMBER(G11)),G11*IF(LEFT(LOWER(H11),1)="д",1/7,1),0)</f>
        <v/>
      </c>
    </row>
    <row r="12">
      <c r="A12" s="13" t="inlineStr">
        <is>
          <t>2</t>
        </is>
      </c>
      <c r="B12" s="14">
        <f>IF(A12="","",LEN(A12)-LEN(SUBSTITUTE(A12,".",""))+1)</f>
        <v/>
      </c>
      <c r="C12" s="7" t="inlineStr">
        <is>
          <t>Испытания</t>
        </is>
      </c>
      <c r="D12" s="14">
        <f>IF(A12="","",IF(OR(B12=1,COUNTIF($A$7:$A$66,A12&amp;".*")&gt;0),"результат","пакет работ"))</f>
        <v/>
      </c>
      <c r="E12" s="7" t="inlineStr"/>
      <c r="F12" s="7" t="inlineStr"/>
      <c r="G12" s="8" t="n"/>
      <c r="H12" s="8" t="inlineStr"/>
      <c r="I12" s="15" t="n"/>
      <c r="J12" s="7">
        <f>IF(A12="","",IF(COUNTIF($A$7:$A$66,A12)&gt;1,"код повторяется",IF(C12="","нет названия",IF(D12="результат",IF(COUNTIF($A$7:$A$66,A12&amp;".*")=0,"разложите на пакеты работ","✓"),IF(E12="","впишите, что предъявляем",IF(F12="","нужен один ответственный",IF(OR(ISNUMBER(SEARCH(",",F12)),ISNUMBER(SEARCH(" и ",F12)),LOWER(F12)="все"),"ответственный — один человек",IF(G12="","оцените длительность","✓"))))))))</f>
        <v/>
      </c>
      <c r="K12" s="16">
        <f>IF(AND(D12="пакет работ",ISNUMBER(G12)),G12*IF(LEFT(LOWER(H12),1)="д",1/7,1),0)</f>
        <v/>
      </c>
    </row>
    <row r="13">
      <c r="A13" s="13" t="inlineStr">
        <is>
          <t>2.1</t>
        </is>
      </c>
      <c r="B13" s="14">
        <f>IF(A13="","",LEN(A13)-LEN(SUBSTITUTE(A13,".",""))+1)</f>
        <v/>
      </c>
      <c r="C13" s="7" t="inlineStr">
        <is>
          <t>Калибровка датчика по контрольному влагомеру</t>
        </is>
      </c>
      <c r="D13" s="14">
        <f>IF(A13="","",IF(OR(B13=1,COUNTIF($A$7:$A$66,A13&amp;".*")&gt;0),"результат","пакет работ"))</f>
        <v/>
      </c>
      <c r="E13" s="7" t="inlineStr">
        <is>
          <t>таблица соответствия показаний</t>
        </is>
      </c>
      <c r="F13" s="7" t="inlineStr">
        <is>
          <t>технический эксперт</t>
        </is>
      </c>
      <c r="G13" s="8" t="n">
        <v>1</v>
      </c>
      <c r="H13" s="8" t="inlineStr">
        <is>
          <t>недель</t>
        </is>
      </c>
      <c r="I13" s="15" t="n"/>
      <c r="J13" s="7">
        <f>IF(A13="","",IF(COUNTIF($A$7:$A$66,A13)&gt;1,"код повторяется",IF(C13="","нет названия",IF(D13="результат",IF(COUNTIF($A$7:$A$66,A13&amp;".*")=0,"разложите на пакеты работ","✓"),IF(E13="","впишите, что предъявляем",IF(F13="","нужен один ответственный",IF(OR(ISNUMBER(SEARCH(",",F13)),ISNUMBER(SEARCH(" и ",F13)),LOWER(F13)="все"),"ответственный — один человек",IF(G13="","оцените длительность","✓"))))))))</f>
        <v/>
      </c>
      <c r="K13" s="16">
        <f>IF(AND(D13="пакет работ",ISNUMBER(G13)),G13*IF(LEFT(LOWER(H13),1)="д",1/7,1),0)</f>
        <v/>
      </c>
    </row>
    <row r="14">
      <c r="A14" s="13" t="inlineStr">
        <is>
          <t>2.2</t>
        </is>
      </c>
      <c r="B14" s="14">
        <f>IF(A14="","",LEN(A14)-LEN(SUBSTITUTE(A14,".",""))+1)</f>
        <v/>
      </c>
      <c r="C14" s="7" t="inlineStr">
        <is>
          <t>Десять циклов полива на трёх растениях</t>
        </is>
      </c>
      <c r="D14" s="14">
        <f>IF(A14="","",IF(OR(B14=1,COUNTIF($A$7:$A$66,A14&amp;".*")&gt;0),"результат","пакет работ"))</f>
        <v/>
      </c>
      <c r="E14" s="7" t="inlineStr">
        <is>
          <t>протокол испытаний</t>
        </is>
      </c>
      <c r="F14" s="7" t="inlineStr">
        <is>
          <t>аналитик</t>
        </is>
      </c>
      <c r="G14" s="8" t="n">
        <v>2</v>
      </c>
      <c r="H14" s="8" t="inlineStr">
        <is>
          <t>недель</t>
        </is>
      </c>
      <c r="I14" s="15" t="n"/>
      <c r="J14" s="7">
        <f>IF(A14="","",IF(COUNTIF($A$7:$A$66,A14)&gt;1,"код повторяется",IF(C14="","нет названия",IF(D14="результат",IF(COUNTIF($A$7:$A$66,A14&amp;".*")=0,"разложите на пакеты работ","✓"),IF(E14="","впишите, что предъявляем",IF(F14="","нужен один ответственный",IF(OR(ISNUMBER(SEARCH(",",F14)),ISNUMBER(SEARCH(" и ",F14)),LOWER(F14)="все"),"ответственный — один человек",IF(G14="","оцените длительность","✓"))))))))</f>
        <v/>
      </c>
      <c r="K14" s="16">
        <f>IF(AND(D14="пакет работ",ISNUMBER(G14)),G14*IF(LEFT(LOWER(H14),1)="д",1/7,1),0)</f>
        <v/>
      </c>
    </row>
    <row r="15">
      <c r="A15" s="13" t="inlineStr">
        <is>
          <t>3</t>
        </is>
      </c>
      <c r="B15" s="14">
        <f>IF(A15="","",LEN(A15)-LEN(SUBSTITUTE(A15,".",""))+1)</f>
        <v/>
      </c>
      <c r="C15" s="7" t="inlineStr">
        <is>
          <t>Проверка с пользователями</t>
        </is>
      </c>
      <c r="D15" s="14">
        <f>IF(A15="","",IF(OR(B15=1,COUNTIF($A$7:$A$66,A15&amp;".*")&gt;0),"результат","пакет работ"))</f>
        <v/>
      </c>
      <c r="E15" s="7" t="inlineStr"/>
      <c r="F15" s="7" t="inlineStr"/>
      <c r="G15" s="8" t="n"/>
      <c r="H15" s="8" t="inlineStr"/>
      <c r="I15" s="15" t="n"/>
      <c r="J15" s="7">
        <f>IF(A15="","",IF(COUNTIF($A$7:$A$66,A15)&gt;1,"код повторяется",IF(C15="","нет названия",IF(D15="результат",IF(COUNTIF($A$7:$A$66,A15&amp;".*")=0,"разложите на пакеты работ","✓"),IF(E15="","впишите, что предъявляем",IF(F15="","нужен один ответственный",IF(OR(ISNUMBER(SEARCH(",",F15)),ISNUMBER(SEARCH(" и ",F15)),LOWER(F15)="все"),"ответственный — один человек",IF(G15="","оцените длительность","✓"))))))))</f>
        <v/>
      </c>
      <c r="K15" s="16">
        <f>IF(AND(D15="пакет работ",ISNUMBER(G15)),G15*IF(LEFT(LOWER(H15),1)="д",1/7,1),0)</f>
        <v/>
      </c>
    </row>
    <row r="16">
      <c r="A16" s="13" t="inlineStr">
        <is>
          <t>3.1</t>
        </is>
      </c>
      <c r="B16" s="14">
        <f>IF(A16="","",LEN(A16)-LEN(SUBSTITUTE(A16,".",""))+1)</f>
        <v/>
      </c>
      <c r="C16" s="7" t="inlineStr">
        <is>
          <t>Три владельца растений попробовали прототип</t>
        </is>
      </c>
      <c r="D16" s="14">
        <f>IF(A16="","",IF(OR(B16=1,COUNTIF($A$7:$A$66,A16&amp;".*")&gt;0),"результат","пакет работ"))</f>
        <v/>
      </c>
      <c r="E16" s="7" t="inlineStr">
        <is>
          <t>записи разговоров, цитаты</t>
        </is>
      </c>
      <c r="F16" s="7" t="inlineStr">
        <is>
          <t>коммуникатор</t>
        </is>
      </c>
      <c r="G16" s="8" t="n">
        <v>1</v>
      </c>
      <c r="H16" s="8" t="inlineStr">
        <is>
          <t>недель</t>
        </is>
      </c>
      <c r="I16" s="15" t="n"/>
      <c r="J16" s="7">
        <f>IF(A16="","",IF(COUNTIF($A$7:$A$66,A16)&gt;1,"код повторяется",IF(C16="","нет названия",IF(D16="результат",IF(COUNTIF($A$7:$A$66,A16&amp;".*")=0,"разложите на пакеты работ","✓"),IF(E16="","впишите, что предъявляем",IF(F16="","нужен один ответственный",IF(OR(ISNUMBER(SEARCH(",",F16)),ISNUMBER(SEARCH(" и ",F16)),LOWER(F16)="все"),"ответственный — один человек",IF(G16="","оцените длительность","✓"))))))))</f>
        <v/>
      </c>
      <c r="K16" s="16">
        <f>IF(AND(D16="пакет работ",ISNUMBER(G16)),G16*IF(LEFT(LOWER(H16),1)="д",1/7,1),0)</f>
        <v/>
      </c>
    </row>
    <row r="17">
      <c r="A17" s="13" t="inlineStr">
        <is>
          <t>4</t>
        </is>
      </c>
      <c r="B17" s="14">
        <f>IF(A17="","",LEN(A17)-LEN(SUBSTITUTE(A17,".",""))+1)</f>
        <v/>
      </c>
      <c r="C17" s="7" t="inlineStr">
        <is>
          <t>Отчёт и защита</t>
        </is>
      </c>
      <c r="D17" s="14">
        <f>IF(A17="","",IF(OR(B17=1,COUNTIF($A$7:$A$66,A17&amp;".*")&gt;0),"результат","пакет работ"))</f>
        <v/>
      </c>
      <c r="E17" s="7" t="inlineStr"/>
      <c r="F17" s="7" t="inlineStr"/>
      <c r="G17" s="8" t="n"/>
      <c r="H17" s="8" t="inlineStr"/>
      <c r="I17" s="15" t="n"/>
      <c r="J17" s="7">
        <f>IF(A17="","",IF(COUNTIF($A$7:$A$66,A17)&gt;1,"код повторяется",IF(C17="","нет названия",IF(D17="результат",IF(COUNTIF($A$7:$A$66,A17&amp;".*")=0,"разложите на пакеты работ","✓"),IF(E17="","впишите, что предъявляем",IF(F17="","нужен один ответственный",IF(OR(ISNUMBER(SEARCH(",",F17)),ISNUMBER(SEARCH(" и ",F17)),LOWER(F17)="все"),"ответственный — один человек",IF(G17="","оцените длительность","✓"))))))))</f>
        <v/>
      </c>
      <c r="K17" s="16">
        <f>IF(AND(D17="пакет работ",ISNUMBER(G17)),G17*IF(LEFT(LOWER(H17),1)="д",1/7,1),0)</f>
        <v/>
      </c>
    </row>
    <row r="18">
      <c r="A18" s="13" t="inlineStr">
        <is>
          <t>4.1</t>
        </is>
      </c>
      <c r="B18" s="14">
        <f>IF(A18="","",LEN(A18)-LEN(SUBSTITUTE(A18,".",""))+1)</f>
        <v/>
      </c>
      <c r="C18" s="7" t="inlineStr">
        <is>
          <t>Письменный отчёт</t>
        </is>
      </c>
      <c r="D18" s="14">
        <f>IF(A18="","",IF(OR(B18=1,COUNTIF($A$7:$A$66,A18&amp;".*")&gt;0),"результат","пакет работ"))</f>
        <v/>
      </c>
      <c r="E18" s="7" t="inlineStr">
        <is>
          <t>отчёт</t>
        </is>
      </c>
      <c r="F18" s="7" t="inlineStr">
        <is>
          <t>аналитик</t>
        </is>
      </c>
      <c r="G18" s="8" t="n">
        <v>1</v>
      </c>
      <c r="H18" s="8" t="inlineStr">
        <is>
          <t>недель</t>
        </is>
      </c>
      <c r="I18" s="15" t="n"/>
      <c r="J18" s="7">
        <f>IF(A18="","",IF(COUNTIF($A$7:$A$66,A18)&gt;1,"код повторяется",IF(C18="","нет названия",IF(D18="результат",IF(COUNTIF($A$7:$A$66,A18&amp;".*")=0,"разложите на пакеты работ","✓"),IF(E18="","впишите, что предъявляем",IF(F18="","нужен один ответственный",IF(OR(ISNUMBER(SEARCH(",",F18)),ISNUMBER(SEARCH(" и ",F18)),LOWER(F18)="все"),"ответственный — один человек",IF(G18="","оцените длительность","✓"))))))))</f>
        <v/>
      </c>
      <c r="K18" s="16">
        <f>IF(AND(D18="пакет работ",ISNUMBER(G18)),G18*IF(LEFT(LOWER(H18),1)="д",1/7,1),0)</f>
        <v/>
      </c>
    </row>
    <row r="19">
      <c r="A19" s="13" t="inlineStr">
        <is>
          <t>4.2</t>
        </is>
      </c>
      <c r="B19" s="14">
        <f>IF(A19="","",LEN(A19)-LEN(SUBSTITUTE(A19,".",""))+1)</f>
        <v/>
      </c>
      <c r="C19" s="7" t="inlineStr">
        <is>
          <t>Презентация и питч</t>
        </is>
      </c>
      <c r="D19" s="14">
        <f>IF(A19="","",IF(OR(B19=1,COUNTIF($A$7:$A$66,A19&amp;".*")&gt;0),"результат","пакет работ"))</f>
        <v/>
      </c>
      <c r="E19" s="7" t="inlineStr">
        <is>
          <t>презентация, отрепетированный питч</t>
        </is>
      </c>
      <c r="F19" s="7" t="inlineStr">
        <is>
          <t>коммуникатор</t>
        </is>
      </c>
      <c r="G19" s="8" t="n">
        <v>1</v>
      </c>
      <c r="H19" s="8" t="inlineStr">
        <is>
          <t>недель</t>
        </is>
      </c>
      <c r="I19" s="15" t="n"/>
      <c r="J19" s="7">
        <f>IF(A19="","",IF(COUNTIF($A$7:$A$66,A19)&gt;1,"код повторяется",IF(C19="","нет названия",IF(D19="результат",IF(COUNTIF($A$7:$A$66,A19&amp;".*")=0,"разложите на пакеты работ","✓"),IF(E19="","впишите, что предъявляем",IF(F19="","нужен один ответственный",IF(OR(ISNUMBER(SEARCH(",",F19)),ISNUMBER(SEARCH(" и ",F19)),LOWER(F19)="все"),"ответственный — один человек",IF(G19="","оцените длительность","✓"))))))))</f>
        <v/>
      </c>
      <c r="K19" s="16">
        <f>IF(AND(D19="пакет работ",ISNUMBER(G19)),G19*IF(LEFT(LOWER(H19),1)="д",1/7,1),0)</f>
        <v/>
      </c>
    </row>
    <row r="20">
      <c r="A20" s="13" t="inlineStr">
        <is>
          <t>5</t>
        </is>
      </c>
      <c r="B20" s="14">
        <f>IF(A20="","",LEN(A20)-LEN(SUBSTITUTE(A20,".",""))+1)</f>
        <v/>
      </c>
      <c r="C20" s="7" t="inlineStr">
        <is>
          <t>Управление проектом</t>
        </is>
      </c>
      <c r="D20" s="14">
        <f>IF(A20="","",IF(OR(B20=1,COUNTIF($A$7:$A$66,A20&amp;".*")&gt;0),"результат","пакет работ"))</f>
        <v/>
      </c>
      <c r="E20" s="7" t="inlineStr"/>
      <c r="F20" s="7" t="inlineStr"/>
      <c r="G20" s="8" t="n"/>
      <c r="H20" s="8" t="inlineStr"/>
      <c r="I20" s="15" t="n"/>
      <c r="J20" s="7">
        <f>IF(A20="","",IF(COUNTIF($A$7:$A$66,A20)&gt;1,"код повторяется",IF(C20="","нет названия",IF(D20="результат",IF(COUNTIF($A$7:$A$66,A20&amp;".*")=0,"разложите на пакеты работ","✓"),IF(E20="","впишите, что предъявляем",IF(F20="","нужен один ответственный",IF(OR(ISNUMBER(SEARCH(",",F20)),ISNUMBER(SEARCH(" и ",F20)),LOWER(F20)="все"),"ответственный — один человек",IF(G20="","оцените длительность","✓"))))))))</f>
        <v/>
      </c>
      <c r="K20" s="16">
        <f>IF(AND(D20="пакет работ",ISNUMBER(G20)),G20*IF(LEFT(LOWER(H20),1)="д",1/7,1),0)</f>
        <v/>
      </c>
    </row>
    <row r="21">
      <c r="A21" s="13" t="inlineStr">
        <is>
          <t>5.1</t>
        </is>
      </c>
      <c r="B21" s="14">
        <f>IF(A21="","",LEN(A21)-LEN(SUBSTITUTE(A21,".",""))+1)</f>
        <v/>
      </c>
      <c r="C21" s="7" t="inlineStr">
        <is>
          <t>Паспорт, план, журнал проекта</t>
        </is>
      </c>
      <c r="D21" s="14">
        <f>IF(A21="","",IF(OR(B21=1,COUNTIF($A$7:$A$66,A21&amp;".*")&gt;0),"результат","пакет работ"))</f>
        <v/>
      </c>
      <c r="E21" s="7" t="inlineStr">
        <is>
          <t>документы; журнал — запись каждую неделю</t>
        </is>
      </c>
      <c r="F21" s="7" t="inlineStr">
        <is>
          <t>лидер</t>
        </is>
      </c>
      <c r="G21" s="8" t="inlineStr">
        <is>
          <t>весь проект</t>
        </is>
      </c>
      <c r="H21" s="8" t="inlineStr"/>
      <c r="I21" s="15" t="n"/>
      <c r="J21" s="7">
        <f>IF(A21="","",IF(COUNTIF($A$7:$A$66,A21)&gt;1,"код повторяется",IF(C21="","нет названия",IF(D21="результат",IF(COUNTIF($A$7:$A$66,A21&amp;".*")=0,"разложите на пакеты работ","✓"),IF(E21="","впишите, что предъявляем",IF(F21="","нужен один ответственный",IF(OR(ISNUMBER(SEARCH(",",F21)),ISNUMBER(SEARCH(" и ",F21)),LOWER(F21)="все"),"ответственный — один человек",IF(G21="","оцените длительность","✓"))))))))</f>
        <v/>
      </c>
      <c r="K21" s="16">
        <f>IF(AND(D21="пакет работ",ISNUMBER(G21)),G21*IF(LEFT(LOWER(H21),1)="д",1/7,1),0)</f>
        <v/>
      </c>
    </row>
    <row r="22">
      <c r="A22" s="13" t="n"/>
      <c r="B22" s="14">
        <f>IF(A22="","",LEN(A22)-LEN(SUBSTITUTE(A22,".",""))+1)</f>
        <v/>
      </c>
      <c r="C22" s="7" t="n"/>
      <c r="D22" s="14">
        <f>IF(A22="","",IF(OR(B22=1,COUNTIF($A$7:$A$66,A22&amp;".*")&gt;0),"результат","пакет работ"))</f>
        <v/>
      </c>
      <c r="E22" s="7" t="n"/>
      <c r="F22" s="7" t="n"/>
      <c r="G22" s="8" t="n"/>
      <c r="H22" s="8" t="n"/>
      <c r="I22" s="15" t="n"/>
      <c r="J22" s="7">
        <f>IF(A22="","",IF(COUNTIF($A$7:$A$66,A22)&gt;1,"код повторяется",IF(C22="","нет названия",IF(D22="результат",IF(COUNTIF($A$7:$A$66,A22&amp;".*")=0,"разложите на пакеты работ","✓"),IF(E22="","впишите, что предъявляем",IF(F22="","нужен один ответственный",IF(OR(ISNUMBER(SEARCH(",",F22)),ISNUMBER(SEARCH(" и ",F22)),LOWER(F22)="все"),"ответственный — один человек",IF(G22="","оцените длительность","✓"))))))))</f>
        <v/>
      </c>
      <c r="K22" s="16">
        <f>IF(AND(D22="пакет работ",ISNUMBER(G22)),G22*IF(LEFT(LOWER(H22),1)="д",1/7,1),0)</f>
        <v/>
      </c>
    </row>
    <row r="23">
      <c r="A23" s="13" t="n"/>
      <c r="B23" s="14">
        <f>IF(A23="","",LEN(A23)-LEN(SUBSTITUTE(A23,".",""))+1)</f>
        <v/>
      </c>
      <c r="C23" s="7" t="n"/>
      <c r="D23" s="14">
        <f>IF(A23="","",IF(OR(B23=1,COUNTIF($A$7:$A$66,A23&amp;".*")&gt;0),"результат","пакет работ"))</f>
        <v/>
      </c>
      <c r="E23" s="7" t="n"/>
      <c r="F23" s="7" t="n"/>
      <c r="G23" s="8" t="n"/>
      <c r="H23" s="8" t="n"/>
      <c r="I23" s="15" t="n"/>
      <c r="J23" s="7">
        <f>IF(A23="","",IF(COUNTIF($A$7:$A$66,A23)&gt;1,"код повторяется",IF(C23="","нет названия",IF(D23="результат",IF(COUNTIF($A$7:$A$66,A23&amp;".*")=0,"разложите на пакеты работ","✓"),IF(E23="","впишите, что предъявляем",IF(F23="","нужен один ответственный",IF(OR(ISNUMBER(SEARCH(",",F23)),ISNUMBER(SEARCH(" и ",F23)),LOWER(F23)="все"),"ответственный — один человек",IF(G23="","оцените длительность","✓"))))))))</f>
        <v/>
      </c>
      <c r="K23" s="16">
        <f>IF(AND(D23="пакет работ",ISNUMBER(G23)),G23*IF(LEFT(LOWER(H23),1)="д",1/7,1),0)</f>
        <v/>
      </c>
    </row>
    <row r="24">
      <c r="A24" s="13" t="n"/>
      <c r="B24" s="14">
        <f>IF(A24="","",LEN(A24)-LEN(SUBSTITUTE(A24,".",""))+1)</f>
        <v/>
      </c>
      <c r="C24" s="7" t="n"/>
      <c r="D24" s="14">
        <f>IF(A24="","",IF(OR(B24=1,COUNTIF($A$7:$A$66,A24&amp;".*")&gt;0),"результат","пакет работ"))</f>
        <v/>
      </c>
      <c r="E24" s="7" t="n"/>
      <c r="F24" s="7" t="n"/>
      <c r="G24" s="8" t="n"/>
      <c r="H24" s="8" t="n"/>
      <c r="I24" s="15" t="n"/>
      <c r="J24" s="7">
        <f>IF(A24="","",IF(COUNTIF($A$7:$A$66,A24)&gt;1,"код повторяется",IF(C24="","нет названия",IF(D24="результат",IF(COUNTIF($A$7:$A$66,A24&amp;".*")=0,"разложите на пакеты работ","✓"),IF(E24="","впишите, что предъявляем",IF(F24="","нужен один ответственный",IF(OR(ISNUMBER(SEARCH(",",F24)),ISNUMBER(SEARCH(" и ",F24)),LOWER(F24)="все"),"ответственный — один человек",IF(G24="","оцените длительность","✓"))))))))</f>
        <v/>
      </c>
      <c r="K24" s="16">
        <f>IF(AND(D24="пакет работ",ISNUMBER(G24)),G24*IF(LEFT(LOWER(H24),1)="д",1/7,1),0)</f>
        <v/>
      </c>
    </row>
    <row r="25">
      <c r="A25" s="13" t="n"/>
      <c r="B25" s="14">
        <f>IF(A25="","",LEN(A25)-LEN(SUBSTITUTE(A25,".",""))+1)</f>
        <v/>
      </c>
      <c r="C25" s="7" t="n"/>
      <c r="D25" s="14">
        <f>IF(A25="","",IF(OR(B25=1,COUNTIF($A$7:$A$66,A25&amp;".*")&gt;0),"результат","пакет работ"))</f>
        <v/>
      </c>
      <c r="E25" s="7" t="n"/>
      <c r="F25" s="7" t="n"/>
      <c r="G25" s="8" t="n"/>
      <c r="H25" s="8" t="n"/>
      <c r="I25" s="15" t="n"/>
      <c r="J25" s="7">
        <f>IF(A25="","",IF(COUNTIF($A$7:$A$66,A25)&gt;1,"код повторяется",IF(C25="","нет названия",IF(D25="результат",IF(COUNTIF($A$7:$A$66,A25&amp;".*")=0,"разложите на пакеты работ","✓"),IF(E25="","впишите, что предъявляем",IF(F25="","нужен один ответственный",IF(OR(ISNUMBER(SEARCH(",",F25)),ISNUMBER(SEARCH(" и ",F25)),LOWER(F25)="все"),"ответственный — один человек",IF(G25="","оцените длительность","✓"))))))))</f>
        <v/>
      </c>
      <c r="K25" s="16">
        <f>IF(AND(D25="пакет работ",ISNUMBER(G25)),G25*IF(LEFT(LOWER(H25),1)="д",1/7,1),0)</f>
        <v/>
      </c>
    </row>
    <row r="26">
      <c r="A26" s="13" t="n"/>
      <c r="B26" s="14">
        <f>IF(A26="","",LEN(A26)-LEN(SUBSTITUTE(A26,".",""))+1)</f>
        <v/>
      </c>
      <c r="C26" s="7" t="n"/>
      <c r="D26" s="14">
        <f>IF(A26="","",IF(OR(B26=1,COUNTIF($A$7:$A$66,A26&amp;".*")&gt;0),"результат","пакет работ"))</f>
        <v/>
      </c>
      <c r="E26" s="7" t="n"/>
      <c r="F26" s="7" t="n"/>
      <c r="G26" s="8" t="n"/>
      <c r="H26" s="8" t="n"/>
      <c r="I26" s="15" t="n"/>
      <c r="J26" s="7">
        <f>IF(A26="","",IF(COUNTIF($A$7:$A$66,A26)&gt;1,"код повторяется",IF(C26="","нет названия",IF(D26="результат",IF(COUNTIF($A$7:$A$66,A26&amp;".*")=0,"разложите на пакеты работ","✓"),IF(E26="","впишите, что предъявляем",IF(F26="","нужен один ответственный",IF(OR(ISNUMBER(SEARCH(",",F26)),ISNUMBER(SEARCH(" и ",F26)),LOWER(F26)="все"),"ответственный — один человек",IF(G26="","оцените длительность","✓"))))))))</f>
        <v/>
      </c>
      <c r="K26" s="16">
        <f>IF(AND(D26="пакет работ",ISNUMBER(G26)),G26*IF(LEFT(LOWER(H26),1)="д",1/7,1),0)</f>
        <v/>
      </c>
    </row>
    <row r="27">
      <c r="A27" s="13" t="n"/>
      <c r="B27" s="14">
        <f>IF(A27="","",LEN(A27)-LEN(SUBSTITUTE(A27,".",""))+1)</f>
        <v/>
      </c>
      <c r="C27" s="7" t="n"/>
      <c r="D27" s="14">
        <f>IF(A27="","",IF(OR(B27=1,COUNTIF($A$7:$A$66,A27&amp;".*")&gt;0),"результат","пакет работ"))</f>
        <v/>
      </c>
      <c r="E27" s="7" t="n"/>
      <c r="F27" s="7" t="n"/>
      <c r="G27" s="8" t="n"/>
      <c r="H27" s="8" t="n"/>
      <c r="I27" s="15" t="n"/>
      <c r="J27" s="7">
        <f>IF(A27="","",IF(COUNTIF($A$7:$A$66,A27)&gt;1,"код повторяется",IF(C27="","нет названия",IF(D27="результат",IF(COUNTIF($A$7:$A$66,A27&amp;".*")=0,"разложите на пакеты работ","✓"),IF(E27="","впишите, что предъявляем",IF(F27="","нужен один ответственный",IF(OR(ISNUMBER(SEARCH(",",F27)),ISNUMBER(SEARCH(" и ",F27)),LOWER(F27)="все"),"ответственный — один человек",IF(G27="","оцените длительность","✓"))))))))</f>
        <v/>
      </c>
      <c r="K27" s="16">
        <f>IF(AND(D27="пакет работ",ISNUMBER(G27)),G27*IF(LEFT(LOWER(H27),1)="д",1/7,1),0)</f>
        <v/>
      </c>
    </row>
    <row r="28">
      <c r="A28" s="13" t="n"/>
      <c r="B28" s="14">
        <f>IF(A28="","",LEN(A28)-LEN(SUBSTITUTE(A28,".",""))+1)</f>
        <v/>
      </c>
      <c r="C28" s="7" t="n"/>
      <c r="D28" s="14">
        <f>IF(A28="","",IF(OR(B28=1,COUNTIF($A$7:$A$66,A28&amp;".*")&gt;0),"результат","пакет работ"))</f>
        <v/>
      </c>
      <c r="E28" s="7" t="n"/>
      <c r="F28" s="7" t="n"/>
      <c r="G28" s="8" t="n"/>
      <c r="H28" s="8" t="n"/>
      <c r="I28" s="15" t="n"/>
      <c r="J28" s="7">
        <f>IF(A28="","",IF(COUNTIF($A$7:$A$66,A28)&gt;1,"код повторяется",IF(C28="","нет названия",IF(D28="результат",IF(COUNTIF($A$7:$A$66,A28&amp;".*")=0,"разложите на пакеты работ","✓"),IF(E28="","впишите, что предъявляем",IF(F28="","нужен один ответственный",IF(OR(ISNUMBER(SEARCH(",",F28)),ISNUMBER(SEARCH(" и ",F28)),LOWER(F28)="все"),"ответственный — один человек",IF(G28="","оцените длительность","✓"))))))))</f>
        <v/>
      </c>
      <c r="K28" s="16">
        <f>IF(AND(D28="пакет работ",ISNUMBER(G28)),G28*IF(LEFT(LOWER(H28),1)="д",1/7,1),0)</f>
        <v/>
      </c>
    </row>
    <row r="29">
      <c r="A29" s="13" t="n"/>
      <c r="B29" s="14">
        <f>IF(A29="","",LEN(A29)-LEN(SUBSTITUTE(A29,".",""))+1)</f>
        <v/>
      </c>
      <c r="C29" s="7" t="n"/>
      <c r="D29" s="14">
        <f>IF(A29="","",IF(OR(B29=1,COUNTIF($A$7:$A$66,A29&amp;".*")&gt;0),"результат","пакет работ"))</f>
        <v/>
      </c>
      <c r="E29" s="7" t="n"/>
      <c r="F29" s="7" t="n"/>
      <c r="G29" s="8" t="n"/>
      <c r="H29" s="8" t="n"/>
      <c r="I29" s="15" t="n"/>
      <c r="J29" s="7">
        <f>IF(A29="","",IF(COUNTIF($A$7:$A$66,A29)&gt;1,"код повторяется",IF(C29="","нет названия",IF(D29="результат",IF(COUNTIF($A$7:$A$66,A29&amp;".*")=0,"разложите на пакеты работ","✓"),IF(E29="","впишите, что предъявляем",IF(F29="","нужен один ответственный",IF(OR(ISNUMBER(SEARCH(",",F29)),ISNUMBER(SEARCH(" и ",F29)),LOWER(F29)="все"),"ответственный — один человек",IF(G29="","оцените длительность","✓"))))))))</f>
        <v/>
      </c>
      <c r="K29" s="16">
        <f>IF(AND(D29="пакет работ",ISNUMBER(G29)),G29*IF(LEFT(LOWER(H29),1)="д",1/7,1),0)</f>
        <v/>
      </c>
    </row>
    <row r="30">
      <c r="A30" s="13" t="n"/>
      <c r="B30" s="14">
        <f>IF(A30="","",LEN(A30)-LEN(SUBSTITUTE(A30,".",""))+1)</f>
        <v/>
      </c>
      <c r="C30" s="7" t="n"/>
      <c r="D30" s="14">
        <f>IF(A30="","",IF(OR(B30=1,COUNTIF($A$7:$A$66,A30&amp;".*")&gt;0),"результат","пакет работ"))</f>
        <v/>
      </c>
      <c r="E30" s="7" t="n"/>
      <c r="F30" s="7" t="n"/>
      <c r="G30" s="8" t="n"/>
      <c r="H30" s="8" t="n"/>
      <c r="I30" s="15" t="n"/>
      <c r="J30" s="7">
        <f>IF(A30="","",IF(COUNTIF($A$7:$A$66,A30)&gt;1,"код повторяется",IF(C30="","нет названия",IF(D30="результат",IF(COUNTIF($A$7:$A$66,A30&amp;".*")=0,"разложите на пакеты работ","✓"),IF(E30="","впишите, что предъявляем",IF(F30="","нужен один ответственный",IF(OR(ISNUMBER(SEARCH(",",F30)),ISNUMBER(SEARCH(" и ",F30)),LOWER(F30)="все"),"ответственный — один человек",IF(G30="","оцените длительность","✓"))))))))</f>
        <v/>
      </c>
      <c r="K30" s="16">
        <f>IF(AND(D30="пакет работ",ISNUMBER(G30)),G30*IF(LEFT(LOWER(H30),1)="д",1/7,1),0)</f>
        <v/>
      </c>
    </row>
    <row r="31">
      <c r="A31" s="13" t="n"/>
      <c r="B31" s="14">
        <f>IF(A31="","",LEN(A31)-LEN(SUBSTITUTE(A31,".",""))+1)</f>
        <v/>
      </c>
      <c r="C31" s="7" t="n"/>
      <c r="D31" s="14">
        <f>IF(A31="","",IF(OR(B31=1,COUNTIF($A$7:$A$66,A31&amp;".*")&gt;0),"результат","пакет работ"))</f>
        <v/>
      </c>
      <c r="E31" s="7" t="n"/>
      <c r="F31" s="7" t="n"/>
      <c r="G31" s="8" t="n"/>
      <c r="H31" s="8" t="n"/>
      <c r="I31" s="15" t="n"/>
      <c r="J31" s="7">
        <f>IF(A31="","",IF(COUNTIF($A$7:$A$66,A31)&gt;1,"код повторяется",IF(C31="","нет названия",IF(D31="результат",IF(COUNTIF($A$7:$A$66,A31&amp;".*")=0,"разложите на пакеты работ","✓"),IF(E31="","впишите, что предъявляем",IF(F31="","нужен один ответственный",IF(OR(ISNUMBER(SEARCH(",",F31)),ISNUMBER(SEARCH(" и ",F31)),LOWER(F31)="все"),"ответственный — один человек",IF(G31="","оцените длительность","✓"))))))))</f>
        <v/>
      </c>
      <c r="K31" s="16">
        <f>IF(AND(D31="пакет работ",ISNUMBER(G31)),G31*IF(LEFT(LOWER(H31),1)="д",1/7,1),0)</f>
        <v/>
      </c>
    </row>
    <row r="32">
      <c r="A32" s="13" t="n"/>
      <c r="B32" s="14">
        <f>IF(A32="","",LEN(A32)-LEN(SUBSTITUTE(A32,".",""))+1)</f>
        <v/>
      </c>
      <c r="C32" s="7" t="n"/>
      <c r="D32" s="14">
        <f>IF(A32="","",IF(OR(B32=1,COUNTIF($A$7:$A$66,A32&amp;".*")&gt;0),"результат","пакет работ"))</f>
        <v/>
      </c>
      <c r="E32" s="7" t="n"/>
      <c r="F32" s="7" t="n"/>
      <c r="G32" s="8" t="n"/>
      <c r="H32" s="8" t="n"/>
      <c r="I32" s="15" t="n"/>
      <c r="J32" s="7">
        <f>IF(A32="","",IF(COUNTIF($A$7:$A$66,A32)&gt;1,"код повторяется",IF(C32="","нет названия",IF(D32="результат",IF(COUNTIF($A$7:$A$66,A32&amp;".*")=0,"разложите на пакеты работ","✓"),IF(E32="","впишите, что предъявляем",IF(F32="","нужен один ответственный",IF(OR(ISNUMBER(SEARCH(",",F32)),ISNUMBER(SEARCH(" и ",F32)),LOWER(F32)="все"),"ответственный — один человек",IF(G32="","оцените длительность","✓"))))))))</f>
        <v/>
      </c>
      <c r="K32" s="16">
        <f>IF(AND(D32="пакет работ",ISNUMBER(G32)),G32*IF(LEFT(LOWER(H32),1)="д",1/7,1),0)</f>
        <v/>
      </c>
    </row>
    <row r="33">
      <c r="A33" s="13" t="n"/>
      <c r="B33" s="14">
        <f>IF(A33="","",LEN(A33)-LEN(SUBSTITUTE(A33,".",""))+1)</f>
        <v/>
      </c>
      <c r="C33" s="7" t="n"/>
      <c r="D33" s="14">
        <f>IF(A33="","",IF(OR(B33=1,COUNTIF($A$7:$A$66,A33&amp;".*")&gt;0),"результат","пакет работ"))</f>
        <v/>
      </c>
      <c r="E33" s="7" t="n"/>
      <c r="F33" s="7" t="n"/>
      <c r="G33" s="8" t="n"/>
      <c r="H33" s="8" t="n"/>
      <c r="I33" s="15" t="n"/>
      <c r="J33" s="7">
        <f>IF(A33="","",IF(COUNTIF($A$7:$A$66,A33)&gt;1,"код повторяется",IF(C33="","нет названия",IF(D33="результат",IF(COUNTIF($A$7:$A$66,A33&amp;".*")=0,"разложите на пакеты работ","✓"),IF(E33="","впишите, что предъявляем",IF(F33="","нужен один ответственный",IF(OR(ISNUMBER(SEARCH(",",F33)),ISNUMBER(SEARCH(" и ",F33)),LOWER(F33)="все"),"ответственный — один человек",IF(G33="","оцените длительность","✓"))))))))</f>
        <v/>
      </c>
      <c r="K33" s="16">
        <f>IF(AND(D33="пакет работ",ISNUMBER(G33)),G33*IF(LEFT(LOWER(H33),1)="д",1/7,1),0)</f>
        <v/>
      </c>
    </row>
    <row r="34">
      <c r="A34" s="13" t="n"/>
      <c r="B34" s="14">
        <f>IF(A34="","",LEN(A34)-LEN(SUBSTITUTE(A34,".",""))+1)</f>
        <v/>
      </c>
      <c r="C34" s="7" t="n"/>
      <c r="D34" s="14">
        <f>IF(A34="","",IF(OR(B34=1,COUNTIF($A$7:$A$66,A34&amp;".*")&gt;0),"результат","пакет работ"))</f>
        <v/>
      </c>
      <c r="E34" s="7" t="n"/>
      <c r="F34" s="7" t="n"/>
      <c r="G34" s="8" t="n"/>
      <c r="H34" s="8" t="n"/>
      <c r="I34" s="15" t="n"/>
      <c r="J34" s="7">
        <f>IF(A34="","",IF(COUNTIF($A$7:$A$66,A34)&gt;1,"код повторяется",IF(C34="","нет названия",IF(D34="результат",IF(COUNTIF($A$7:$A$66,A34&amp;".*")=0,"разложите на пакеты работ","✓"),IF(E34="","впишите, что предъявляем",IF(F34="","нужен один ответственный",IF(OR(ISNUMBER(SEARCH(",",F34)),ISNUMBER(SEARCH(" и ",F34)),LOWER(F34)="все"),"ответственный — один человек",IF(G34="","оцените длительность","✓"))))))))</f>
        <v/>
      </c>
      <c r="K34" s="16">
        <f>IF(AND(D34="пакет работ",ISNUMBER(G34)),G34*IF(LEFT(LOWER(H34),1)="д",1/7,1),0)</f>
        <v/>
      </c>
    </row>
    <row r="35">
      <c r="A35" s="13" t="n"/>
      <c r="B35" s="14">
        <f>IF(A35="","",LEN(A35)-LEN(SUBSTITUTE(A35,".",""))+1)</f>
        <v/>
      </c>
      <c r="C35" s="7" t="n"/>
      <c r="D35" s="14">
        <f>IF(A35="","",IF(OR(B35=1,COUNTIF($A$7:$A$66,A35&amp;".*")&gt;0),"результат","пакет работ"))</f>
        <v/>
      </c>
      <c r="E35" s="7" t="n"/>
      <c r="F35" s="7" t="n"/>
      <c r="G35" s="8" t="n"/>
      <c r="H35" s="8" t="n"/>
      <c r="I35" s="15" t="n"/>
      <c r="J35" s="7">
        <f>IF(A35="","",IF(COUNTIF($A$7:$A$66,A35)&gt;1,"код повторяется",IF(C35="","нет названия",IF(D35="результат",IF(COUNTIF($A$7:$A$66,A35&amp;".*")=0,"разложите на пакеты работ","✓"),IF(E35="","впишите, что предъявляем",IF(F35="","нужен один ответственный",IF(OR(ISNUMBER(SEARCH(",",F35)),ISNUMBER(SEARCH(" и ",F35)),LOWER(F35)="все"),"ответственный — один человек",IF(G35="","оцените длительность","✓"))))))))</f>
        <v/>
      </c>
      <c r="K35" s="16">
        <f>IF(AND(D35="пакет работ",ISNUMBER(G35)),G35*IF(LEFT(LOWER(H35),1)="д",1/7,1),0)</f>
        <v/>
      </c>
    </row>
    <row r="36">
      <c r="A36" s="13" t="n"/>
      <c r="B36" s="14">
        <f>IF(A36="","",LEN(A36)-LEN(SUBSTITUTE(A36,".",""))+1)</f>
        <v/>
      </c>
      <c r="C36" s="7" t="n"/>
      <c r="D36" s="14">
        <f>IF(A36="","",IF(OR(B36=1,COUNTIF($A$7:$A$66,A36&amp;".*")&gt;0),"результат","пакет работ"))</f>
        <v/>
      </c>
      <c r="E36" s="7" t="n"/>
      <c r="F36" s="7" t="n"/>
      <c r="G36" s="8" t="n"/>
      <c r="H36" s="8" t="n"/>
      <c r="I36" s="15" t="n"/>
      <c r="J36" s="7">
        <f>IF(A36="","",IF(COUNTIF($A$7:$A$66,A36)&gt;1,"код повторяется",IF(C36="","нет названия",IF(D36="результат",IF(COUNTIF($A$7:$A$66,A36&amp;".*")=0,"разложите на пакеты работ","✓"),IF(E36="","впишите, что предъявляем",IF(F36="","нужен один ответственный",IF(OR(ISNUMBER(SEARCH(",",F36)),ISNUMBER(SEARCH(" и ",F36)),LOWER(F36)="все"),"ответственный — один человек",IF(G36="","оцените длительность","✓"))))))))</f>
        <v/>
      </c>
      <c r="K36" s="16">
        <f>IF(AND(D36="пакет работ",ISNUMBER(G36)),G36*IF(LEFT(LOWER(H36),1)="д",1/7,1),0)</f>
        <v/>
      </c>
    </row>
    <row r="37">
      <c r="A37" s="13" t="n"/>
      <c r="B37" s="14">
        <f>IF(A37="","",LEN(A37)-LEN(SUBSTITUTE(A37,".",""))+1)</f>
        <v/>
      </c>
      <c r="C37" s="7" t="n"/>
      <c r="D37" s="14">
        <f>IF(A37="","",IF(OR(B37=1,COUNTIF($A$7:$A$66,A37&amp;".*")&gt;0),"результат","пакет работ"))</f>
        <v/>
      </c>
      <c r="E37" s="7" t="n"/>
      <c r="F37" s="7" t="n"/>
      <c r="G37" s="8" t="n"/>
      <c r="H37" s="8" t="n"/>
      <c r="I37" s="15" t="n"/>
      <c r="J37" s="7">
        <f>IF(A37="","",IF(COUNTIF($A$7:$A$66,A37)&gt;1,"код повторяется",IF(C37="","нет названия",IF(D37="результат",IF(COUNTIF($A$7:$A$66,A37&amp;".*")=0,"разложите на пакеты работ","✓"),IF(E37="","впишите, что предъявляем",IF(F37="","нужен один ответственный",IF(OR(ISNUMBER(SEARCH(",",F37)),ISNUMBER(SEARCH(" и ",F37)),LOWER(F37)="все"),"ответственный — один человек",IF(G37="","оцените длительность","✓"))))))))</f>
        <v/>
      </c>
      <c r="K37" s="16">
        <f>IF(AND(D37="пакет работ",ISNUMBER(G37)),G37*IF(LEFT(LOWER(H37),1)="д",1/7,1),0)</f>
        <v/>
      </c>
    </row>
    <row r="38">
      <c r="A38" s="13" t="n"/>
      <c r="B38" s="14">
        <f>IF(A38="","",LEN(A38)-LEN(SUBSTITUTE(A38,".",""))+1)</f>
        <v/>
      </c>
      <c r="C38" s="7" t="n"/>
      <c r="D38" s="14">
        <f>IF(A38="","",IF(OR(B38=1,COUNTIF($A$7:$A$66,A38&amp;".*")&gt;0),"результат","пакет работ"))</f>
        <v/>
      </c>
      <c r="E38" s="7" t="n"/>
      <c r="F38" s="7" t="n"/>
      <c r="G38" s="8" t="n"/>
      <c r="H38" s="8" t="n"/>
      <c r="I38" s="15" t="n"/>
      <c r="J38" s="7">
        <f>IF(A38="","",IF(COUNTIF($A$7:$A$66,A38)&gt;1,"код повторяется",IF(C38="","нет названия",IF(D38="результат",IF(COUNTIF($A$7:$A$66,A38&amp;".*")=0,"разложите на пакеты работ","✓"),IF(E38="","впишите, что предъявляем",IF(F38="","нужен один ответственный",IF(OR(ISNUMBER(SEARCH(",",F38)),ISNUMBER(SEARCH(" и ",F38)),LOWER(F38)="все"),"ответственный — один человек",IF(G38="","оцените длительность","✓"))))))))</f>
        <v/>
      </c>
      <c r="K38" s="16">
        <f>IF(AND(D38="пакет работ",ISNUMBER(G38)),G38*IF(LEFT(LOWER(H38),1)="д",1/7,1),0)</f>
        <v/>
      </c>
    </row>
    <row r="39">
      <c r="A39" s="13" t="n"/>
      <c r="B39" s="14">
        <f>IF(A39="","",LEN(A39)-LEN(SUBSTITUTE(A39,".",""))+1)</f>
        <v/>
      </c>
      <c r="C39" s="7" t="n"/>
      <c r="D39" s="14">
        <f>IF(A39="","",IF(OR(B39=1,COUNTIF($A$7:$A$66,A39&amp;".*")&gt;0),"результат","пакет работ"))</f>
        <v/>
      </c>
      <c r="E39" s="7" t="n"/>
      <c r="F39" s="7" t="n"/>
      <c r="G39" s="8" t="n"/>
      <c r="H39" s="8" t="n"/>
      <c r="I39" s="15" t="n"/>
      <c r="J39" s="7">
        <f>IF(A39="","",IF(COUNTIF($A$7:$A$66,A39)&gt;1,"код повторяется",IF(C39="","нет названия",IF(D39="результат",IF(COUNTIF($A$7:$A$66,A39&amp;".*")=0,"разложите на пакеты работ","✓"),IF(E39="","впишите, что предъявляем",IF(F39="","нужен один ответственный",IF(OR(ISNUMBER(SEARCH(",",F39)),ISNUMBER(SEARCH(" и ",F39)),LOWER(F39)="все"),"ответственный — один человек",IF(G39="","оцените длительность","✓"))))))))</f>
        <v/>
      </c>
      <c r="K39" s="16">
        <f>IF(AND(D39="пакет работ",ISNUMBER(G39)),G39*IF(LEFT(LOWER(H39),1)="д",1/7,1),0)</f>
        <v/>
      </c>
    </row>
    <row r="40">
      <c r="A40" s="13" t="n"/>
      <c r="B40" s="14">
        <f>IF(A40="","",LEN(A40)-LEN(SUBSTITUTE(A40,".",""))+1)</f>
        <v/>
      </c>
      <c r="C40" s="7" t="n"/>
      <c r="D40" s="14">
        <f>IF(A40="","",IF(OR(B40=1,COUNTIF($A$7:$A$66,A40&amp;".*")&gt;0),"результат","пакет работ"))</f>
        <v/>
      </c>
      <c r="E40" s="7" t="n"/>
      <c r="F40" s="7" t="n"/>
      <c r="G40" s="8" t="n"/>
      <c r="H40" s="8" t="n"/>
      <c r="I40" s="15" t="n"/>
      <c r="J40" s="7">
        <f>IF(A40="","",IF(COUNTIF($A$7:$A$66,A40)&gt;1,"код повторяется",IF(C40="","нет названия",IF(D40="результат",IF(COUNTIF($A$7:$A$66,A40&amp;".*")=0,"разложите на пакеты работ","✓"),IF(E40="","впишите, что предъявляем",IF(F40="","нужен один ответственный",IF(OR(ISNUMBER(SEARCH(",",F40)),ISNUMBER(SEARCH(" и ",F40)),LOWER(F40)="все"),"ответственный — один человек",IF(G40="","оцените длительность","✓"))))))))</f>
        <v/>
      </c>
      <c r="K40" s="16">
        <f>IF(AND(D40="пакет работ",ISNUMBER(G40)),G40*IF(LEFT(LOWER(H40),1)="д",1/7,1),0)</f>
        <v/>
      </c>
    </row>
    <row r="41">
      <c r="A41" s="13" t="n"/>
      <c r="B41" s="14">
        <f>IF(A41="","",LEN(A41)-LEN(SUBSTITUTE(A41,".",""))+1)</f>
        <v/>
      </c>
      <c r="C41" s="7" t="n"/>
      <c r="D41" s="14">
        <f>IF(A41="","",IF(OR(B41=1,COUNTIF($A$7:$A$66,A41&amp;".*")&gt;0),"результат","пакет работ"))</f>
        <v/>
      </c>
      <c r="E41" s="7" t="n"/>
      <c r="F41" s="7" t="n"/>
      <c r="G41" s="8" t="n"/>
      <c r="H41" s="8" t="n"/>
      <c r="I41" s="15" t="n"/>
      <c r="J41" s="7">
        <f>IF(A41="","",IF(COUNTIF($A$7:$A$66,A41)&gt;1,"код повторяется",IF(C41="","нет названия",IF(D41="результат",IF(COUNTIF($A$7:$A$66,A41&amp;".*")=0,"разложите на пакеты работ","✓"),IF(E41="","впишите, что предъявляем",IF(F41="","нужен один ответственный",IF(OR(ISNUMBER(SEARCH(",",F41)),ISNUMBER(SEARCH(" и ",F41)),LOWER(F41)="все"),"ответственный — один человек",IF(G41="","оцените длительность","✓"))))))))</f>
        <v/>
      </c>
      <c r="K41" s="16">
        <f>IF(AND(D41="пакет работ",ISNUMBER(G41)),G41*IF(LEFT(LOWER(H41),1)="д",1/7,1),0)</f>
        <v/>
      </c>
    </row>
    <row r="42">
      <c r="A42" s="13" t="n"/>
      <c r="B42" s="14">
        <f>IF(A42="","",LEN(A42)-LEN(SUBSTITUTE(A42,".",""))+1)</f>
        <v/>
      </c>
      <c r="C42" s="7" t="n"/>
      <c r="D42" s="14">
        <f>IF(A42="","",IF(OR(B42=1,COUNTIF($A$7:$A$66,A42&amp;".*")&gt;0),"результат","пакет работ"))</f>
        <v/>
      </c>
      <c r="E42" s="7" t="n"/>
      <c r="F42" s="7" t="n"/>
      <c r="G42" s="8" t="n"/>
      <c r="H42" s="8" t="n"/>
      <c r="I42" s="15" t="n"/>
      <c r="J42" s="7">
        <f>IF(A42="","",IF(COUNTIF($A$7:$A$66,A42)&gt;1,"код повторяется",IF(C42="","нет названия",IF(D42="результат",IF(COUNTIF($A$7:$A$66,A42&amp;".*")=0,"разложите на пакеты работ","✓"),IF(E42="","впишите, что предъявляем",IF(F42="","нужен один ответственный",IF(OR(ISNUMBER(SEARCH(",",F42)),ISNUMBER(SEARCH(" и ",F42)),LOWER(F42)="все"),"ответственный — один человек",IF(G42="","оцените длительность","✓"))))))))</f>
        <v/>
      </c>
      <c r="K42" s="16">
        <f>IF(AND(D42="пакет работ",ISNUMBER(G42)),G42*IF(LEFT(LOWER(H42),1)="д",1/7,1),0)</f>
        <v/>
      </c>
    </row>
    <row r="43">
      <c r="A43" s="13" t="n"/>
      <c r="B43" s="14">
        <f>IF(A43="","",LEN(A43)-LEN(SUBSTITUTE(A43,".",""))+1)</f>
        <v/>
      </c>
      <c r="C43" s="7" t="n"/>
      <c r="D43" s="14">
        <f>IF(A43="","",IF(OR(B43=1,COUNTIF($A$7:$A$66,A43&amp;".*")&gt;0),"результат","пакет работ"))</f>
        <v/>
      </c>
      <c r="E43" s="7" t="n"/>
      <c r="F43" s="7" t="n"/>
      <c r="G43" s="8" t="n"/>
      <c r="H43" s="8" t="n"/>
      <c r="I43" s="15" t="n"/>
      <c r="J43" s="7">
        <f>IF(A43="","",IF(COUNTIF($A$7:$A$66,A43)&gt;1,"код повторяется",IF(C43="","нет названия",IF(D43="результат",IF(COUNTIF($A$7:$A$66,A43&amp;".*")=0,"разложите на пакеты работ","✓"),IF(E43="","впишите, что предъявляем",IF(F43="","нужен один ответственный",IF(OR(ISNUMBER(SEARCH(",",F43)),ISNUMBER(SEARCH(" и ",F43)),LOWER(F43)="все"),"ответственный — один человек",IF(G43="","оцените длительность","✓"))))))))</f>
        <v/>
      </c>
      <c r="K43" s="16">
        <f>IF(AND(D43="пакет работ",ISNUMBER(G43)),G43*IF(LEFT(LOWER(H43),1)="д",1/7,1),0)</f>
        <v/>
      </c>
    </row>
    <row r="44">
      <c r="A44" s="13" t="n"/>
      <c r="B44" s="14">
        <f>IF(A44="","",LEN(A44)-LEN(SUBSTITUTE(A44,".",""))+1)</f>
        <v/>
      </c>
      <c r="C44" s="7" t="n"/>
      <c r="D44" s="14">
        <f>IF(A44="","",IF(OR(B44=1,COUNTIF($A$7:$A$66,A44&amp;".*")&gt;0),"результат","пакет работ"))</f>
        <v/>
      </c>
      <c r="E44" s="7" t="n"/>
      <c r="F44" s="7" t="n"/>
      <c r="G44" s="8" t="n"/>
      <c r="H44" s="8" t="n"/>
      <c r="I44" s="15" t="n"/>
      <c r="J44" s="7">
        <f>IF(A44="","",IF(COUNTIF($A$7:$A$66,A44)&gt;1,"код повторяется",IF(C44="","нет названия",IF(D44="результат",IF(COUNTIF($A$7:$A$66,A44&amp;".*")=0,"разложите на пакеты работ","✓"),IF(E44="","впишите, что предъявляем",IF(F44="","нужен один ответственный",IF(OR(ISNUMBER(SEARCH(",",F44)),ISNUMBER(SEARCH(" и ",F44)),LOWER(F44)="все"),"ответственный — один человек",IF(G44="","оцените длительность","✓"))))))))</f>
        <v/>
      </c>
      <c r="K44" s="16">
        <f>IF(AND(D44="пакет работ",ISNUMBER(G44)),G44*IF(LEFT(LOWER(H44),1)="д",1/7,1),0)</f>
        <v/>
      </c>
    </row>
    <row r="45">
      <c r="A45" s="13" t="n"/>
      <c r="B45" s="14">
        <f>IF(A45="","",LEN(A45)-LEN(SUBSTITUTE(A45,".",""))+1)</f>
        <v/>
      </c>
      <c r="C45" s="7" t="n"/>
      <c r="D45" s="14">
        <f>IF(A45="","",IF(OR(B45=1,COUNTIF($A$7:$A$66,A45&amp;".*")&gt;0),"результат","пакет работ"))</f>
        <v/>
      </c>
      <c r="E45" s="7" t="n"/>
      <c r="F45" s="7" t="n"/>
      <c r="G45" s="8" t="n"/>
      <c r="H45" s="8" t="n"/>
      <c r="I45" s="15" t="n"/>
      <c r="J45" s="7">
        <f>IF(A45="","",IF(COUNTIF($A$7:$A$66,A45)&gt;1,"код повторяется",IF(C45="","нет названия",IF(D45="результат",IF(COUNTIF($A$7:$A$66,A45&amp;".*")=0,"разложите на пакеты работ","✓"),IF(E45="","впишите, что предъявляем",IF(F45="","нужен один ответственный",IF(OR(ISNUMBER(SEARCH(",",F45)),ISNUMBER(SEARCH(" и ",F45)),LOWER(F45)="все"),"ответственный — один человек",IF(G45="","оцените длительность","✓"))))))))</f>
        <v/>
      </c>
      <c r="K45" s="16">
        <f>IF(AND(D45="пакет работ",ISNUMBER(G45)),G45*IF(LEFT(LOWER(H45),1)="д",1/7,1),0)</f>
        <v/>
      </c>
    </row>
    <row r="46">
      <c r="A46" s="13" t="n"/>
      <c r="B46" s="14">
        <f>IF(A46="","",LEN(A46)-LEN(SUBSTITUTE(A46,".",""))+1)</f>
        <v/>
      </c>
      <c r="C46" s="7" t="n"/>
      <c r="D46" s="14">
        <f>IF(A46="","",IF(OR(B46=1,COUNTIF($A$7:$A$66,A46&amp;".*")&gt;0),"результат","пакет работ"))</f>
        <v/>
      </c>
      <c r="E46" s="7" t="n"/>
      <c r="F46" s="7" t="n"/>
      <c r="G46" s="8" t="n"/>
      <c r="H46" s="8" t="n"/>
      <c r="I46" s="15" t="n"/>
      <c r="J46" s="7">
        <f>IF(A46="","",IF(COUNTIF($A$7:$A$66,A46)&gt;1,"код повторяется",IF(C46="","нет названия",IF(D46="результат",IF(COUNTIF($A$7:$A$66,A46&amp;".*")=0,"разложите на пакеты работ","✓"),IF(E46="","впишите, что предъявляем",IF(F46="","нужен один ответственный",IF(OR(ISNUMBER(SEARCH(",",F46)),ISNUMBER(SEARCH(" и ",F46)),LOWER(F46)="все"),"ответственный — один человек",IF(G46="","оцените длительность","✓"))))))))</f>
        <v/>
      </c>
      <c r="K46" s="16">
        <f>IF(AND(D46="пакет работ",ISNUMBER(G46)),G46*IF(LEFT(LOWER(H46),1)="д",1/7,1),0)</f>
        <v/>
      </c>
    </row>
    <row r="47">
      <c r="A47" s="13" t="n"/>
      <c r="B47" s="14">
        <f>IF(A47="","",LEN(A47)-LEN(SUBSTITUTE(A47,".",""))+1)</f>
        <v/>
      </c>
      <c r="C47" s="7" t="n"/>
      <c r="D47" s="14">
        <f>IF(A47="","",IF(OR(B47=1,COUNTIF($A$7:$A$66,A47&amp;".*")&gt;0),"результат","пакет работ"))</f>
        <v/>
      </c>
      <c r="E47" s="7" t="n"/>
      <c r="F47" s="7" t="n"/>
      <c r="G47" s="8" t="n"/>
      <c r="H47" s="8" t="n"/>
      <c r="I47" s="15" t="n"/>
      <c r="J47" s="7">
        <f>IF(A47="","",IF(COUNTIF($A$7:$A$66,A47)&gt;1,"код повторяется",IF(C47="","нет названия",IF(D47="результат",IF(COUNTIF($A$7:$A$66,A47&amp;".*")=0,"разложите на пакеты работ","✓"),IF(E47="","впишите, что предъявляем",IF(F47="","нужен один ответственный",IF(OR(ISNUMBER(SEARCH(",",F47)),ISNUMBER(SEARCH(" и ",F47)),LOWER(F47)="все"),"ответственный — один человек",IF(G47="","оцените длительность","✓"))))))))</f>
        <v/>
      </c>
      <c r="K47" s="16">
        <f>IF(AND(D47="пакет работ",ISNUMBER(G47)),G47*IF(LEFT(LOWER(H47),1)="д",1/7,1),0)</f>
        <v/>
      </c>
    </row>
    <row r="48">
      <c r="A48" s="13" t="n"/>
      <c r="B48" s="14">
        <f>IF(A48="","",LEN(A48)-LEN(SUBSTITUTE(A48,".",""))+1)</f>
        <v/>
      </c>
      <c r="C48" s="7" t="n"/>
      <c r="D48" s="14">
        <f>IF(A48="","",IF(OR(B48=1,COUNTIF($A$7:$A$66,A48&amp;".*")&gt;0),"результат","пакет работ"))</f>
        <v/>
      </c>
      <c r="E48" s="7" t="n"/>
      <c r="F48" s="7" t="n"/>
      <c r="G48" s="8" t="n"/>
      <c r="H48" s="8" t="n"/>
      <c r="I48" s="15" t="n"/>
      <c r="J48" s="7">
        <f>IF(A48="","",IF(COUNTIF($A$7:$A$66,A48)&gt;1,"код повторяется",IF(C48="","нет названия",IF(D48="результат",IF(COUNTIF($A$7:$A$66,A48&amp;".*")=0,"разложите на пакеты работ","✓"),IF(E48="","впишите, что предъявляем",IF(F48="","нужен один ответственный",IF(OR(ISNUMBER(SEARCH(",",F48)),ISNUMBER(SEARCH(" и ",F48)),LOWER(F48)="все"),"ответственный — один человек",IF(G48="","оцените длительность","✓"))))))))</f>
        <v/>
      </c>
      <c r="K48" s="16">
        <f>IF(AND(D48="пакет работ",ISNUMBER(G48)),G48*IF(LEFT(LOWER(H48),1)="д",1/7,1),0)</f>
        <v/>
      </c>
    </row>
    <row r="49">
      <c r="A49" s="13" t="n"/>
      <c r="B49" s="14">
        <f>IF(A49="","",LEN(A49)-LEN(SUBSTITUTE(A49,".",""))+1)</f>
        <v/>
      </c>
      <c r="C49" s="7" t="n"/>
      <c r="D49" s="14">
        <f>IF(A49="","",IF(OR(B49=1,COUNTIF($A$7:$A$66,A49&amp;".*")&gt;0),"результат","пакет работ"))</f>
        <v/>
      </c>
      <c r="E49" s="7" t="n"/>
      <c r="F49" s="7" t="n"/>
      <c r="G49" s="8" t="n"/>
      <c r="H49" s="8" t="n"/>
      <c r="I49" s="15" t="n"/>
      <c r="J49" s="7">
        <f>IF(A49="","",IF(COUNTIF($A$7:$A$66,A49)&gt;1,"код повторяется",IF(C49="","нет названия",IF(D49="результат",IF(COUNTIF($A$7:$A$66,A49&amp;".*")=0,"разложите на пакеты работ","✓"),IF(E49="","впишите, что предъявляем",IF(F49="","нужен один ответственный",IF(OR(ISNUMBER(SEARCH(",",F49)),ISNUMBER(SEARCH(" и ",F49)),LOWER(F49)="все"),"ответственный — один человек",IF(G49="","оцените длительность","✓"))))))))</f>
        <v/>
      </c>
      <c r="K49" s="16">
        <f>IF(AND(D49="пакет работ",ISNUMBER(G49)),G49*IF(LEFT(LOWER(H49),1)="д",1/7,1),0)</f>
        <v/>
      </c>
    </row>
    <row r="50">
      <c r="A50" s="13" t="n"/>
      <c r="B50" s="14">
        <f>IF(A50="","",LEN(A50)-LEN(SUBSTITUTE(A50,".",""))+1)</f>
        <v/>
      </c>
      <c r="C50" s="7" t="n"/>
      <c r="D50" s="14">
        <f>IF(A50="","",IF(OR(B50=1,COUNTIF($A$7:$A$66,A50&amp;".*")&gt;0),"результат","пакет работ"))</f>
        <v/>
      </c>
      <c r="E50" s="7" t="n"/>
      <c r="F50" s="7" t="n"/>
      <c r="G50" s="8" t="n"/>
      <c r="H50" s="8" t="n"/>
      <c r="I50" s="15" t="n"/>
      <c r="J50" s="7">
        <f>IF(A50="","",IF(COUNTIF($A$7:$A$66,A50)&gt;1,"код повторяется",IF(C50="","нет названия",IF(D50="результат",IF(COUNTIF($A$7:$A$66,A50&amp;".*")=0,"разложите на пакеты работ","✓"),IF(E50="","впишите, что предъявляем",IF(F50="","нужен один ответственный",IF(OR(ISNUMBER(SEARCH(",",F50)),ISNUMBER(SEARCH(" и ",F50)),LOWER(F50)="все"),"ответственный — один человек",IF(G50="","оцените длительность","✓"))))))))</f>
        <v/>
      </c>
      <c r="K50" s="16">
        <f>IF(AND(D50="пакет работ",ISNUMBER(G50)),G50*IF(LEFT(LOWER(H50),1)="д",1/7,1),0)</f>
        <v/>
      </c>
    </row>
    <row r="51">
      <c r="A51" s="13" t="n"/>
      <c r="B51" s="14">
        <f>IF(A51="","",LEN(A51)-LEN(SUBSTITUTE(A51,".",""))+1)</f>
        <v/>
      </c>
      <c r="C51" s="7" t="n"/>
      <c r="D51" s="14">
        <f>IF(A51="","",IF(OR(B51=1,COUNTIF($A$7:$A$66,A51&amp;".*")&gt;0),"результат","пакет работ"))</f>
        <v/>
      </c>
      <c r="E51" s="7" t="n"/>
      <c r="F51" s="7" t="n"/>
      <c r="G51" s="8" t="n"/>
      <c r="H51" s="8" t="n"/>
      <c r="I51" s="15" t="n"/>
      <c r="J51" s="7">
        <f>IF(A51="","",IF(COUNTIF($A$7:$A$66,A51)&gt;1,"код повторяется",IF(C51="","нет названия",IF(D51="результат",IF(COUNTIF($A$7:$A$66,A51&amp;".*")=0,"разложите на пакеты работ","✓"),IF(E51="","впишите, что предъявляем",IF(F51="","нужен один ответственный",IF(OR(ISNUMBER(SEARCH(",",F51)),ISNUMBER(SEARCH(" и ",F51)),LOWER(F51)="все"),"ответственный — один человек",IF(G51="","оцените длительность","✓"))))))))</f>
        <v/>
      </c>
      <c r="K51" s="16">
        <f>IF(AND(D51="пакет работ",ISNUMBER(G51)),G51*IF(LEFT(LOWER(H51),1)="д",1/7,1),0)</f>
        <v/>
      </c>
    </row>
    <row r="52">
      <c r="A52" s="13" t="n"/>
      <c r="B52" s="14">
        <f>IF(A52="","",LEN(A52)-LEN(SUBSTITUTE(A52,".",""))+1)</f>
        <v/>
      </c>
      <c r="C52" s="7" t="n"/>
      <c r="D52" s="14">
        <f>IF(A52="","",IF(OR(B52=1,COUNTIF($A$7:$A$66,A52&amp;".*")&gt;0),"результат","пакет работ"))</f>
        <v/>
      </c>
      <c r="E52" s="7" t="n"/>
      <c r="F52" s="7" t="n"/>
      <c r="G52" s="8" t="n"/>
      <c r="H52" s="8" t="n"/>
      <c r="I52" s="15" t="n"/>
      <c r="J52" s="7">
        <f>IF(A52="","",IF(COUNTIF($A$7:$A$66,A52)&gt;1,"код повторяется",IF(C52="","нет названия",IF(D52="результат",IF(COUNTIF($A$7:$A$66,A52&amp;".*")=0,"разложите на пакеты работ","✓"),IF(E52="","впишите, что предъявляем",IF(F52="","нужен один ответственный",IF(OR(ISNUMBER(SEARCH(",",F52)),ISNUMBER(SEARCH(" и ",F52)),LOWER(F52)="все"),"ответственный — один человек",IF(G52="","оцените длительность","✓"))))))))</f>
        <v/>
      </c>
      <c r="K52" s="16">
        <f>IF(AND(D52="пакет работ",ISNUMBER(G52)),G52*IF(LEFT(LOWER(H52),1)="д",1/7,1),0)</f>
        <v/>
      </c>
    </row>
    <row r="53">
      <c r="A53" s="13" t="n"/>
      <c r="B53" s="14">
        <f>IF(A53="","",LEN(A53)-LEN(SUBSTITUTE(A53,".",""))+1)</f>
        <v/>
      </c>
      <c r="C53" s="7" t="n"/>
      <c r="D53" s="14">
        <f>IF(A53="","",IF(OR(B53=1,COUNTIF($A$7:$A$66,A53&amp;".*")&gt;0),"результат","пакет работ"))</f>
        <v/>
      </c>
      <c r="E53" s="7" t="n"/>
      <c r="F53" s="7" t="n"/>
      <c r="G53" s="8" t="n"/>
      <c r="H53" s="8" t="n"/>
      <c r="I53" s="15" t="n"/>
      <c r="J53" s="7">
        <f>IF(A53="","",IF(COUNTIF($A$7:$A$66,A53)&gt;1,"код повторяется",IF(C53="","нет названия",IF(D53="результат",IF(COUNTIF($A$7:$A$66,A53&amp;".*")=0,"разложите на пакеты работ","✓"),IF(E53="","впишите, что предъявляем",IF(F53="","нужен один ответственный",IF(OR(ISNUMBER(SEARCH(",",F53)),ISNUMBER(SEARCH(" и ",F53)),LOWER(F53)="все"),"ответственный — один человек",IF(G53="","оцените длительность","✓"))))))))</f>
        <v/>
      </c>
      <c r="K53" s="16">
        <f>IF(AND(D53="пакет работ",ISNUMBER(G53)),G53*IF(LEFT(LOWER(H53),1)="д",1/7,1),0)</f>
        <v/>
      </c>
    </row>
    <row r="54">
      <c r="A54" s="13" t="n"/>
      <c r="B54" s="14">
        <f>IF(A54="","",LEN(A54)-LEN(SUBSTITUTE(A54,".",""))+1)</f>
        <v/>
      </c>
      <c r="C54" s="7" t="n"/>
      <c r="D54" s="14">
        <f>IF(A54="","",IF(OR(B54=1,COUNTIF($A$7:$A$66,A54&amp;".*")&gt;0),"результат","пакет работ"))</f>
        <v/>
      </c>
      <c r="E54" s="7" t="n"/>
      <c r="F54" s="7" t="n"/>
      <c r="G54" s="8" t="n"/>
      <c r="H54" s="8" t="n"/>
      <c r="I54" s="15" t="n"/>
      <c r="J54" s="7">
        <f>IF(A54="","",IF(COUNTIF($A$7:$A$66,A54)&gt;1,"код повторяется",IF(C54="","нет названия",IF(D54="результат",IF(COUNTIF($A$7:$A$66,A54&amp;".*")=0,"разложите на пакеты работ","✓"),IF(E54="","впишите, что предъявляем",IF(F54="","нужен один ответственный",IF(OR(ISNUMBER(SEARCH(",",F54)),ISNUMBER(SEARCH(" и ",F54)),LOWER(F54)="все"),"ответственный — один человек",IF(G54="","оцените длительность","✓"))))))))</f>
        <v/>
      </c>
      <c r="K54" s="16">
        <f>IF(AND(D54="пакет работ",ISNUMBER(G54)),G54*IF(LEFT(LOWER(H54),1)="д",1/7,1),0)</f>
        <v/>
      </c>
    </row>
    <row r="55">
      <c r="A55" s="13" t="n"/>
      <c r="B55" s="14">
        <f>IF(A55="","",LEN(A55)-LEN(SUBSTITUTE(A55,".",""))+1)</f>
        <v/>
      </c>
      <c r="C55" s="7" t="n"/>
      <c r="D55" s="14">
        <f>IF(A55="","",IF(OR(B55=1,COUNTIF($A$7:$A$66,A55&amp;".*")&gt;0),"результат","пакет работ"))</f>
        <v/>
      </c>
      <c r="E55" s="7" t="n"/>
      <c r="F55" s="7" t="n"/>
      <c r="G55" s="8" t="n"/>
      <c r="H55" s="8" t="n"/>
      <c r="I55" s="15" t="n"/>
      <c r="J55" s="7">
        <f>IF(A55="","",IF(COUNTIF($A$7:$A$66,A55)&gt;1,"код повторяется",IF(C55="","нет названия",IF(D55="результат",IF(COUNTIF($A$7:$A$66,A55&amp;".*")=0,"разложите на пакеты работ","✓"),IF(E55="","впишите, что предъявляем",IF(F55="","нужен один ответственный",IF(OR(ISNUMBER(SEARCH(",",F55)),ISNUMBER(SEARCH(" и ",F55)),LOWER(F55)="все"),"ответственный — один человек",IF(G55="","оцените длительность","✓"))))))))</f>
        <v/>
      </c>
      <c r="K55" s="16">
        <f>IF(AND(D55="пакет работ",ISNUMBER(G55)),G55*IF(LEFT(LOWER(H55),1)="д",1/7,1),0)</f>
        <v/>
      </c>
    </row>
    <row r="56">
      <c r="A56" s="13" t="n"/>
      <c r="B56" s="14">
        <f>IF(A56="","",LEN(A56)-LEN(SUBSTITUTE(A56,".",""))+1)</f>
        <v/>
      </c>
      <c r="C56" s="7" t="n"/>
      <c r="D56" s="14">
        <f>IF(A56="","",IF(OR(B56=1,COUNTIF($A$7:$A$66,A56&amp;".*")&gt;0),"результат","пакет работ"))</f>
        <v/>
      </c>
      <c r="E56" s="7" t="n"/>
      <c r="F56" s="7" t="n"/>
      <c r="G56" s="8" t="n"/>
      <c r="H56" s="8" t="n"/>
      <c r="I56" s="15" t="n"/>
      <c r="J56" s="7">
        <f>IF(A56="","",IF(COUNTIF($A$7:$A$66,A56)&gt;1,"код повторяется",IF(C56="","нет названия",IF(D56="результат",IF(COUNTIF($A$7:$A$66,A56&amp;".*")=0,"разложите на пакеты работ","✓"),IF(E56="","впишите, что предъявляем",IF(F56="","нужен один ответственный",IF(OR(ISNUMBER(SEARCH(",",F56)),ISNUMBER(SEARCH(" и ",F56)),LOWER(F56)="все"),"ответственный — один человек",IF(G56="","оцените длительность","✓"))))))))</f>
        <v/>
      </c>
      <c r="K56" s="16">
        <f>IF(AND(D56="пакет работ",ISNUMBER(G56)),G56*IF(LEFT(LOWER(H56),1)="д",1/7,1),0)</f>
        <v/>
      </c>
    </row>
    <row r="57">
      <c r="A57" s="13" t="n"/>
      <c r="B57" s="14">
        <f>IF(A57="","",LEN(A57)-LEN(SUBSTITUTE(A57,".",""))+1)</f>
        <v/>
      </c>
      <c r="C57" s="7" t="n"/>
      <c r="D57" s="14">
        <f>IF(A57="","",IF(OR(B57=1,COUNTIF($A$7:$A$66,A57&amp;".*")&gt;0),"результат","пакет работ"))</f>
        <v/>
      </c>
      <c r="E57" s="7" t="n"/>
      <c r="F57" s="7" t="n"/>
      <c r="G57" s="8" t="n"/>
      <c r="H57" s="8" t="n"/>
      <c r="I57" s="15" t="n"/>
      <c r="J57" s="7">
        <f>IF(A57="","",IF(COUNTIF($A$7:$A$66,A57)&gt;1,"код повторяется",IF(C57="","нет названия",IF(D57="результат",IF(COUNTIF($A$7:$A$66,A57&amp;".*")=0,"разложите на пакеты работ","✓"),IF(E57="","впишите, что предъявляем",IF(F57="","нужен один ответственный",IF(OR(ISNUMBER(SEARCH(",",F57)),ISNUMBER(SEARCH(" и ",F57)),LOWER(F57)="все"),"ответственный — один человек",IF(G57="","оцените длительность","✓"))))))))</f>
        <v/>
      </c>
      <c r="K57" s="16">
        <f>IF(AND(D57="пакет работ",ISNUMBER(G57)),G57*IF(LEFT(LOWER(H57),1)="д",1/7,1),0)</f>
        <v/>
      </c>
    </row>
    <row r="58">
      <c r="A58" s="13" t="n"/>
      <c r="B58" s="14">
        <f>IF(A58="","",LEN(A58)-LEN(SUBSTITUTE(A58,".",""))+1)</f>
        <v/>
      </c>
      <c r="C58" s="7" t="n"/>
      <c r="D58" s="14">
        <f>IF(A58="","",IF(OR(B58=1,COUNTIF($A$7:$A$66,A58&amp;".*")&gt;0),"результат","пакет работ"))</f>
        <v/>
      </c>
      <c r="E58" s="7" t="n"/>
      <c r="F58" s="7" t="n"/>
      <c r="G58" s="8" t="n"/>
      <c r="H58" s="8" t="n"/>
      <c r="I58" s="15" t="n"/>
      <c r="J58" s="7">
        <f>IF(A58="","",IF(COUNTIF($A$7:$A$66,A58)&gt;1,"код повторяется",IF(C58="","нет названия",IF(D58="результат",IF(COUNTIF($A$7:$A$66,A58&amp;".*")=0,"разложите на пакеты работ","✓"),IF(E58="","впишите, что предъявляем",IF(F58="","нужен один ответственный",IF(OR(ISNUMBER(SEARCH(",",F58)),ISNUMBER(SEARCH(" и ",F58)),LOWER(F58)="все"),"ответственный — один человек",IF(G58="","оцените длительность","✓"))))))))</f>
        <v/>
      </c>
      <c r="K58" s="16">
        <f>IF(AND(D58="пакет работ",ISNUMBER(G58)),G58*IF(LEFT(LOWER(H58),1)="д",1/7,1),0)</f>
        <v/>
      </c>
    </row>
    <row r="59">
      <c r="A59" s="13" t="n"/>
      <c r="B59" s="14">
        <f>IF(A59="","",LEN(A59)-LEN(SUBSTITUTE(A59,".",""))+1)</f>
        <v/>
      </c>
      <c r="C59" s="7" t="n"/>
      <c r="D59" s="14">
        <f>IF(A59="","",IF(OR(B59=1,COUNTIF($A$7:$A$66,A59&amp;".*")&gt;0),"результат","пакет работ"))</f>
        <v/>
      </c>
      <c r="E59" s="7" t="n"/>
      <c r="F59" s="7" t="n"/>
      <c r="G59" s="8" t="n"/>
      <c r="H59" s="8" t="n"/>
      <c r="I59" s="15" t="n"/>
      <c r="J59" s="7">
        <f>IF(A59="","",IF(COUNTIF($A$7:$A$66,A59)&gt;1,"код повторяется",IF(C59="","нет названия",IF(D59="результат",IF(COUNTIF($A$7:$A$66,A59&amp;".*")=0,"разложите на пакеты работ","✓"),IF(E59="","впишите, что предъявляем",IF(F59="","нужен один ответственный",IF(OR(ISNUMBER(SEARCH(",",F59)),ISNUMBER(SEARCH(" и ",F59)),LOWER(F59)="все"),"ответственный — один человек",IF(G59="","оцените длительность","✓"))))))))</f>
        <v/>
      </c>
      <c r="K59" s="16">
        <f>IF(AND(D59="пакет работ",ISNUMBER(G59)),G59*IF(LEFT(LOWER(H59),1)="д",1/7,1),0)</f>
        <v/>
      </c>
    </row>
    <row r="60">
      <c r="A60" s="13" t="n"/>
      <c r="B60" s="14">
        <f>IF(A60="","",LEN(A60)-LEN(SUBSTITUTE(A60,".",""))+1)</f>
        <v/>
      </c>
      <c r="C60" s="7" t="n"/>
      <c r="D60" s="14">
        <f>IF(A60="","",IF(OR(B60=1,COUNTIF($A$7:$A$66,A60&amp;".*")&gt;0),"результат","пакет работ"))</f>
        <v/>
      </c>
      <c r="E60" s="7" t="n"/>
      <c r="F60" s="7" t="n"/>
      <c r="G60" s="8" t="n"/>
      <c r="H60" s="8" t="n"/>
      <c r="I60" s="15" t="n"/>
      <c r="J60" s="7">
        <f>IF(A60="","",IF(COUNTIF($A$7:$A$66,A60)&gt;1,"код повторяется",IF(C60="","нет названия",IF(D60="результат",IF(COUNTIF($A$7:$A$66,A60&amp;".*")=0,"разложите на пакеты работ","✓"),IF(E60="","впишите, что предъявляем",IF(F60="","нужен один ответственный",IF(OR(ISNUMBER(SEARCH(",",F60)),ISNUMBER(SEARCH(" и ",F60)),LOWER(F60)="все"),"ответственный — один человек",IF(G60="","оцените длительность","✓"))))))))</f>
        <v/>
      </c>
      <c r="K60" s="16">
        <f>IF(AND(D60="пакет работ",ISNUMBER(G60)),G60*IF(LEFT(LOWER(H60),1)="д",1/7,1),0)</f>
        <v/>
      </c>
    </row>
    <row r="61">
      <c r="A61" s="13" t="n"/>
      <c r="B61" s="14">
        <f>IF(A61="","",LEN(A61)-LEN(SUBSTITUTE(A61,".",""))+1)</f>
        <v/>
      </c>
      <c r="C61" s="7" t="n"/>
      <c r="D61" s="14">
        <f>IF(A61="","",IF(OR(B61=1,COUNTIF($A$7:$A$66,A61&amp;".*")&gt;0),"результат","пакет работ"))</f>
        <v/>
      </c>
      <c r="E61" s="7" t="n"/>
      <c r="F61" s="7" t="n"/>
      <c r="G61" s="8" t="n"/>
      <c r="H61" s="8" t="n"/>
      <c r="I61" s="15" t="n"/>
      <c r="J61" s="7">
        <f>IF(A61="","",IF(COUNTIF($A$7:$A$66,A61)&gt;1,"код повторяется",IF(C61="","нет названия",IF(D61="результат",IF(COUNTIF($A$7:$A$66,A61&amp;".*")=0,"разложите на пакеты работ","✓"),IF(E61="","впишите, что предъявляем",IF(F61="","нужен один ответственный",IF(OR(ISNUMBER(SEARCH(",",F61)),ISNUMBER(SEARCH(" и ",F61)),LOWER(F61)="все"),"ответственный — один человек",IF(G61="","оцените длительность","✓"))))))))</f>
        <v/>
      </c>
      <c r="K61" s="16">
        <f>IF(AND(D61="пакет работ",ISNUMBER(G61)),G61*IF(LEFT(LOWER(H61),1)="д",1/7,1),0)</f>
        <v/>
      </c>
    </row>
    <row r="62">
      <c r="A62" s="13" t="n"/>
      <c r="B62" s="14">
        <f>IF(A62="","",LEN(A62)-LEN(SUBSTITUTE(A62,".",""))+1)</f>
        <v/>
      </c>
      <c r="C62" s="7" t="n"/>
      <c r="D62" s="14">
        <f>IF(A62="","",IF(OR(B62=1,COUNTIF($A$7:$A$66,A62&amp;".*")&gt;0),"результат","пакет работ"))</f>
        <v/>
      </c>
      <c r="E62" s="7" t="n"/>
      <c r="F62" s="7" t="n"/>
      <c r="G62" s="8" t="n"/>
      <c r="H62" s="8" t="n"/>
      <c r="I62" s="15" t="n"/>
      <c r="J62" s="7">
        <f>IF(A62="","",IF(COUNTIF($A$7:$A$66,A62)&gt;1,"код повторяется",IF(C62="","нет названия",IF(D62="результат",IF(COUNTIF($A$7:$A$66,A62&amp;".*")=0,"разложите на пакеты работ","✓"),IF(E62="","впишите, что предъявляем",IF(F62="","нужен один ответственный",IF(OR(ISNUMBER(SEARCH(",",F62)),ISNUMBER(SEARCH(" и ",F62)),LOWER(F62)="все"),"ответственный — один человек",IF(G62="","оцените длительность","✓"))))))))</f>
        <v/>
      </c>
      <c r="K62" s="16">
        <f>IF(AND(D62="пакет работ",ISNUMBER(G62)),G62*IF(LEFT(LOWER(H62),1)="д",1/7,1),0)</f>
        <v/>
      </c>
    </row>
    <row r="63">
      <c r="A63" s="13" t="n"/>
      <c r="B63" s="14">
        <f>IF(A63="","",LEN(A63)-LEN(SUBSTITUTE(A63,".",""))+1)</f>
        <v/>
      </c>
      <c r="C63" s="7" t="n"/>
      <c r="D63" s="14">
        <f>IF(A63="","",IF(OR(B63=1,COUNTIF($A$7:$A$66,A63&amp;".*")&gt;0),"результат","пакет работ"))</f>
        <v/>
      </c>
      <c r="E63" s="7" t="n"/>
      <c r="F63" s="7" t="n"/>
      <c r="G63" s="8" t="n"/>
      <c r="H63" s="8" t="n"/>
      <c r="I63" s="15" t="n"/>
      <c r="J63" s="7">
        <f>IF(A63="","",IF(COUNTIF($A$7:$A$66,A63)&gt;1,"код повторяется",IF(C63="","нет названия",IF(D63="результат",IF(COUNTIF($A$7:$A$66,A63&amp;".*")=0,"разложите на пакеты работ","✓"),IF(E63="","впишите, что предъявляем",IF(F63="","нужен один ответственный",IF(OR(ISNUMBER(SEARCH(",",F63)),ISNUMBER(SEARCH(" и ",F63)),LOWER(F63)="все"),"ответственный — один человек",IF(G63="","оцените длительность","✓"))))))))</f>
        <v/>
      </c>
      <c r="K63" s="16">
        <f>IF(AND(D63="пакет работ",ISNUMBER(G63)),G63*IF(LEFT(LOWER(H63),1)="д",1/7,1),0)</f>
        <v/>
      </c>
    </row>
    <row r="64">
      <c r="A64" s="13" t="n"/>
      <c r="B64" s="14">
        <f>IF(A64="","",LEN(A64)-LEN(SUBSTITUTE(A64,".",""))+1)</f>
        <v/>
      </c>
      <c r="C64" s="7" t="n"/>
      <c r="D64" s="14">
        <f>IF(A64="","",IF(OR(B64=1,COUNTIF($A$7:$A$66,A64&amp;".*")&gt;0),"результат","пакет работ"))</f>
        <v/>
      </c>
      <c r="E64" s="7" t="n"/>
      <c r="F64" s="7" t="n"/>
      <c r="G64" s="8" t="n"/>
      <c r="H64" s="8" t="n"/>
      <c r="I64" s="15" t="n"/>
      <c r="J64" s="7">
        <f>IF(A64="","",IF(COUNTIF($A$7:$A$66,A64)&gt;1,"код повторяется",IF(C64="","нет названия",IF(D64="результат",IF(COUNTIF($A$7:$A$66,A64&amp;".*")=0,"разложите на пакеты работ","✓"),IF(E64="","впишите, что предъявляем",IF(F64="","нужен один ответственный",IF(OR(ISNUMBER(SEARCH(",",F64)),ISNUMBER(SEARCH(" и ",F64)),LOWER(F64)="все"),"ответственный — один человек",IF(G64="","оцените длительность","✓"))))))))</f>
        <v/>
      </c>
      <c r="K64" s="16">
        <f>IF(AND(D64="пакет работ",ISNUMBER(G64)),G64*IF(LEFT(LOWER(H64),1)="д",1/7,1),0)</f>
        <v/>
      </c>
    </row>
    <row r="65">
      <c r="A65" s="13" t="n"/>
      <c r="B65" s="14">
        <f>IF(A65="","",LEN(A65)-LEN(SUBSTITUTE(A65,".",""))+1)</f>
        <v/>
      </c>
      <c r="C65" s="7" t="n"/>
      <c r="D65" s="14">
        <f>IF(A65="","",IF(OR(B65=1,COUNTIF($A$7:$A$66,A65&amp;".*")&gt;0),"результат","пакет работ"))</f>
        <v/>
      </c>
      <c r="E65" s="7" t="n"/>
      <c r="F65" s="7" t="n"/>
      <c r="G65" s="8" t="n"/>
      <c r="H65" s="8" t="n"/>
      <c r="I65" s="15" t="n"/>
      <c r="J65" s="7">
        <f>IF(A65="","",IF(COUNTIF($A$7:$A$66,A65)&gt;1,"код повторяется",IF(C65="","нет названия",IF(D65="результат",IF(COUNTIF($A$7:$A$66,A65&amp;".*")=0,"разложите на пакеты работ","✓"),IF(E65="","впишите, что предъявляем",IF(F65="","нужен один ответственный",IF(OR(ISNUMBER(SEARCH(",",F65)),ISNUMBER(SEARCH(" и ",F65)),LOWER(F65)="все"),"ответственный — один человек",IF(G65="","оцените длительность","✓"))))))))</f>
        <v/>
      </c>
      <c r="K65" s="16">
        <f>IF(AND(D65="пакет работ",ISNUMBER(G65)),G65*IF(LEFT(LOWER(H65),1)="д",1/7,1),0)</f>
        <v/>
      </c>
    </row>
    <row r="66">
      <c r="A66" s="13" t="n"/>
      <c r="B66" s="14">
        <f>IF(A66="","",LEN(A66)-LEN(SUBSTITUTE(A66,".",""))+1)</f>
        <v/>
      </c>
      <c r="C66" s="7" t="n"/>
      <c r="D66" s="14">
        <f>IF(A66="","",IF(OR(B66=1,COUNTIF($A$7:$A$66,A66&amp;".*")&gt;0),"результат","пакет работ"))</f>
        <v/>
      </c>
      <c r="E66" s="7" t="n"/>
      <c r="F66" s="7" t="n"/>
      <c r="G66" s="8" t="n"/>
      <c r="H66" s="8" t="n"/>
      <c r="I66" s="15" t="n"/>
      <c r="J66" s="7">
        <f>IF(A66="","",IF(COUNTIF($A$7:$A$66,A66)&gt;1,"код повторяется",IF(C66="","нет названия",IF(D66="результат",IF(COUNTIF($A$7:$A$66,A66&amp;".*")=0,"разложите на пакеты работ","✓"),IF(E66="","впишите, что предъявляем",IF(F66="","нужен один ответственный",IF(OR(ISNUMBER(SEARCH(",",F66)),ISNUMBER(SEARCH(" и ",F66)),LOWER(F66)="все"),"ответственный — один человек",IF(G66="","оцените длительность","✓"))))))))</f>
        <v/>
      </c>
      <c r="K66" s="16">
        <f>IF(AND(D66="пакет работ",ISNUMBER(G66)),G66*IF(LEFT(LOWER(H66),1)="д",1/7,1),0)</f>
        <v/>
      </c>
    </row>
  </sheetData>
  <mergeCells count="6">
    <mergeCell ref="A4:B4"/>
    <mergeCell ref="G4:H4"/>
    <mergeCell ref="I3:J4"/>
    <mergeCell ref="B2:E2"/>
    <mergeCell ref="A3:B3"/>
    <mergeCell ref="G3:H3"/>
  </mergeCells>
  <conditionalFormatting sqref="A7:J66">
    <cfRule type="expression" priority="1" dxfId="0">
      <formula>$D7="результат"</formula>
    </cfRule>
  </conditionalFormatting>
  <conditionalFormatting sqref="J7:J66">
    <cfRule type="expression" priority="2" dxfId="1">
      <formula>AND(J7&lt;&gt;"",J7&lt;&gt;"✓")</formula>
    </cfRule>
    <cfRule type="expression" priority="3" dxfId="2">
      <formula>J7="✓"</formula>
    </cfRule>
  </conditionalFormatting>
  <conditionalFormatting sqref="E4">
    <cfRule type="expression" priority="4" dxfId="1">
      <formula>E4="добавьте"</formula>
    </cfRule>
  </conditionalFormatting>
  <conditionalFormatting sqref="F4">
    <cfRule type="expression" priority="5" dxfId="1">
      <formula>F4="добавьте"</formula>
    </cfRule>
  </conditionalFormatting>
  <conditionalFormatting sqref="D4">
    <cfRule type="expression" priority="6" dxfId="1">
      <formula>D4&gt;0</formula>
    </cfRule>
  </conditionalFormatting>
  <dataValidations count="1">
    <dataValidation sqref="H7:H66" showDropDown="0" showInputMessage="0" showErrorMessage="1" allowBlank="1" errorTitle="Единица" error="Выберите из списка: недель или дней." type="list" errorStyle="stop">
      <formula1>"недель,дней"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ГУАП · Кафедра № 3</dc:creator>
  <dc:title>Занятие 6. WBS проекта — таблица</dc:title>
  <dcterms:created xsi:type="dcterms:W3CDTF">2026-10-17T12:03:19Z</dcterms:created>
  <dcterms:modified xsi:type="dcterms:W3CDTF">2026-10-17T12:03:19Z</dcterms:modified>
</cp:coreProperties>
</file>