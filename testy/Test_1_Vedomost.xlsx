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631к" sheetId="1" state="visible" r:id="rId1"/>
    <sheet name="м531" sheetId="2" state="visible" r:id="rId2"/>
    <sheet name="Клю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1" t="inlineStr">
        <is>
          <t>Тест 1 «Инициация» · м631к · ответы 1–14 вписывать буквой (а/б/в/г), как обвёл студент; пусто — 0 баллов</t>
        </is>
      </c>
    </row>
    <row r="2" ht="32" customHeight="1">
      <c r="A2" s="2" t="inlineStr">
        <is>
          <t>ФИО</t>
        </is>
      </c>
      <c r="B2" s="2" t="inlineStr">
        <is>
          <t>Команда</t>
        </is>
      </c>
      <c r="C2" s="2" t="inlineStr">
        <is>
          <t>Вариант (А/Б)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14</t>
        </is>
      </c>
      <c r="R2" s="2" t="inlineStr">
        <is>
          <t>Баллы 1–14</t>
        </is>
      </c>
      <c r="S2" s="2" t="inlineStr">
        <is>
          <t>15 (0–5)</t>
        </is>
      </c>
      <c r="T2" s="2" t="inlineStr">
        <is>
          <t>16 (0–2)</t>
        </is>
      </c>
      <c r="U2" s="2" t="inlineStr">
        <is>
          <t>17 (0–2)</t>
        </is>
      </c>
      <c r="V2" s="2" t="inlineStr">
        <is>
          <t>18 (0–3)</t>
        </is>
      </c>
      <c r="W2" s="2" t="inlineStr">
        <is>
          <t>19 (0–2)</t>
        </is>
      </c>
      <c r="X2" s="2" t="inlineStr">
        <is>
          <t>20 (0–2)</t>
        </is>
      </c>
      <c r="Y2" s="2" t="inlineStr">
        <is>
          <t>Итого /30</t>
        </is>
      </c>
      <c r="Z2" s="2" t="inlineStr">
        <is>
          <t>Зачтено</t>
        </is>
      </c>
      <c r="AA2" s="2" t="inlineStr">
        <is>
          <t>В БРС /10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>
        <f>IF($C3="","",IF(D3="",0,IF(LOWER(TRIM(D3))=IF($C3="Б",Ключ!$C$2,Ключ!$B$2),1,0))+IF(E3="",0,IF(LOWER(TRIM(E3))=IF($C3="Б",Ключ!$C$3,Ключ!$B$3),1,0))+IF(F3="",0,IF(LOWER(TRIM(F3))=IF($C3="Б",Ключ!$C$4,Ключ!$B$4),1,0))+IF(G3="",0,IF(LOWER(TRIM(G3))=IF($C3="Б",Ключ!$C$5,Ключ!$B$5),1,0))+IF(H3="",0,IF(LOWER(TRIM(H3))=IF($C3="Б",Ключ!$C$6,Ключ!$B$6),1,0))+IF(I3="",0,IF(LOWER(TRIM(I3))=IF($C3="Б",Ключ!$C$7,Ключ!$B$7),1,0))+IF(J3="",0,IF(LOWER(TRIM(J3))=IF($C3="Б",Ключ!$C$8,Ключ!$B$8),1,0))+IF(K3="",0,IF(LOWER(TRIM(K3))=IF($C3="Б",Ключ!$C$9,Ключ!$B$9),1,0))+IF(L3="",0,IF(LOWER(TRIM(L3))=IF($C3="Б",Ключ!$C$10,Ключ!$B$10),1,0))+IF(M3="",0,IF(LOWER(TRIM(M3))=IF($C3="Б",Ключ!$C$11,Ключ!$B$11),1,0))+IF(N3="",0,IF(LOWER(TRIM(N3))=IF($C3="Б",Ключ!$C$12,Ключ!$B$12),1,0))+IF(O3="",0,IF(LOWER(TRIM(O3))=IF($C3="Б",Ключ!$C$13,Ключ!$B$13),1,0))+IF(P3="",0,IF(LOWER(TRIM(P3))=IF($C3="Б",Ключ!$C$14,Ключ!$B$14),1,0))+IF(Q3="",0,IF(LOWER(TRIM(Q3))=IF($C3="Б",Ключ!$C$15,Ключ!$B$15),1,0)))</f>
        <v/>
      </c>
      <c r="S3" s="3" t="n"/>
      <c r="T3" s="3" t="n"/>
      <c r="U3" s="3" t="n"/>
      <c r="V3" s="3" t="n"/>
      <c r="W3" s="3" t="n"/>
      <c r="X3" s="3" t="n"/>
      <c r="Y3" s="3">
        <f>IF($C3="","",R3+SUM(S3:X3))</f>
        <v/>
      </c>
      <c r="Z3" s="3">
        <f>IF($C3="","",IF(Y3&gt;=15,"да","нет"))</f>
        <v/>
      </c>
      <c r="AA3" s="3">
        <f>IF($C3="","",ROUND(Y3/3,1))</f>
        <v/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>
        <f>IF($C4="","",IF(D4="",0,IF(LOWER(TRIM(D4))=IF($C4="Б",Ключ!$C$2,Ключ!$B$2),1,0))+IF(E4="",0,IF(LOWER(TRIM(E4))=IF($C4="Б",Ключ!$C$3,Ключ!$B$3),1,0))+IF(F4="",0,IF(LOWER(TRIM(F4))=IF($C4="Б",Ключ!$C$4,Ключ!$B$4),1,0))+IF(G4="",0,IF(LOWER(TRIM(G4))=IF($C4="Б",Ключ!$C$5,Ключ!$B$5),1,0))+IF(H4="",0,IF(LOWER(TRIM(H4))=IF($C4="Б",Ключ!$C$6,Ключ!$B$6),1,0))+IF(I4="",0,IF(LOWER(TRIM(I4))=IF($C4="Б",Ключ!$C$7,Ключ!$B$7),1,0))+IF(J4="",0,IF(LOWER(TRIM(J4))=IF($C4="Б",Ключ!$C$8,Ключ!$B$8),1,0))+IF(K4="",0,IF(LOWER(TRIM(K4))=IF($C4="Б",Ключ!$C$9,Ключ!$B$9),1,0))+IF(L4="",0,IF(LOWER(TRIM(L4))=IF($C4="Б",Ключ!$C$10,Ключ!$B$10),1,0))+IF(M4="",0,IF(LOWER(TRIM(M4))=IF($C4="Б",Ключ!$C$11,Ключ!$B$11),1,0))+IF(N4="",0,IF(LOWER(TRIM(N4))=IF($C4="Б",Ключ!$C$12,Ключ!$B$12),1,0))+IF(O4="",0,IF(LOWER(TRIM(O4))=IF($C4="Б",Ключ!$C$13,Ключ!$B$13),1,0))+IF(P4="",0,IF(LOWER(TRIM(P4))=IF($C4="Б",Ключ!$C$14,Ключ!$B$14),1,0))+IF(Q4="",0,IF(LOWER(TRIM(Q4))=IF($C4="Б",Ключ!$C$15,Ключ!$B$15),1,0)))</f>
        <v/>
      </c>
      <c r="S4" s="3" t="n"/>
      <c r="T4" s="3" t="n"/>
      <c r="U4" s="3" t="n"/>
      <c r="V4" s="3" t="n"/>
      <c r="W4" s="3" t="n"/>
      <c r="X4" s="3" t="n"/>
      <c r="Y4" s="3">
        <f>IF($C4="","",R4+SUM(S4:X4))</f>
        <v/>
      </c>
      <c r="Z4" s="3">
        <f>IF($C4="","",IF(Y4&gt;=15,"да","нет"))</f>
        <v/>
      </c>
      <c r="AA4" s="3">
        <f>IF($C4="","",ROUND(Y4/3,1))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>
        <f>IF($C5="","",IF(D5="",0,IF(LOWER(TRIM(D5))=IF($C5="Б",Ключ!$C$2,Ключ!$B$2),1,0))+IF(E5="",0,IF(LOWER(TRIM(E5))=IF($C5="Б",Ключ!$C$3,Ключ!$B$3),1,0))+IF(F5="",0,IF(LOWER(TRIM(F5))=IF($C5="Б",Ключ!$C$4,Ключ!$B$4),1,0))+IF(G5="",0,IF(LOWER(TRIM(G5))=IF($C5="Б",Ключ!$C$5,Ключ!$B$5),1,0))+IF(H5="",0,IF(LOWER(TRIM(H5))=IF($C5="Б",Ключ!$C$6,Ключ!$B$6),1,0))+IF(I5="",0,IF(LOWER(TRIM(I5))=IF($C5="Б",Ключ!$C$7,Ключ!$B$7),1,0))+IF(J5="",0,IF(LOWER(TRIM(J5))=IF($C5="Б",Ключ!$C$8,Ключ!$B$8),1,0))+IF(K5="",0,IF(LOWER(TRIM(K5))=IF($C5="Б",Ключ!$C$9,Ключ!$B$9),1,0))+IF(L5="",0,IF(LOWER(TRIM(L5))=IF($C5="Б",Ключ!$C$10,Ключ!$B$10),1,0))+IF(M5="",0,IF(LOWER(TRIM(M5))=IF($C5="Б",Ключ!$C$11,Ключ!$B$11),1,0))+IF(N5="",0,IF(LOWER(TRIM(N5))=IF($C5="Б",Ключ!$C$12,Ключ!$B$12),1,0))+IF(O5="",0,IF(LOWER(TRIM(O5))=IF($C5="Б",Ключ!$C$13,Ключ!$B$13),1,0))+IF(P5="",0,IF(LOWER(TRIM(P5))=IF($C5="Б",Ключ!$C$14,Ключ!$B$14),1,0))+IF(Q5="",0,IF(LOWER(TRIM(Q5))=IF($C5="Б",Ключ!$C$15,Ключ!$B$15),1,0)))</f>
        <v/>
      </c>
      <c r="S5" s="3" t="n"/>
      <c r="T5" s="3" t="n"/>
      <c r="U5" s="3" t="n"/>
      <c r="V5" s="3" t="n"/>
      <c r="W5" s="3" t="n"/>
      <c r="X5" s="3" t="n"/>
      <c r="Y5" s="3">
        <f>IF($C5="","",R5+SUM(S5:X5))</f>
        <v/>
      </c>
      <c r="Z5" s="3">
        <f>IF($C5="","",IF(Y5&gt;=15,"да","нет"))</f>
        <v/>
      </c>
      <c r="AA5" s="3">
        <f>IF($C5="","",ROUND(Y5/3,1))</f>
        <v/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>
        <f>IF($C6="","",IF(D6="",0,IF(LOWER(TRIM(D6))=IF($C6="Б",Ключ!$C$2,Ключ!$B$2),1,0))+IF(E6="",0,IF(LOWER(TRIM(E6))=IF($C6="Б",Ключ!$C$3,Ключ!$B$3),1,0))+IF(F6="",0,IF(LOWER(TRIM(F6))=IF($C6="Б",Ключ!$C$4,Ключ!$B$4),1,0))+IF(G6="",0,IF(LOWER(TRIM(G6))=IF($C6="Б",Ключ!$C$5,Ключ!$B$5),1,0))+IF(H6="",0,IF(LOWER(TRIM(H6))=IF($C6="Б",Ключ!$C$6,Ключ!$B$6),1,0))+IF(I6="",0,IF(LOWER(TRIM(I6))=IF($C6="Б",Ключ!$C$7,Ключ!$B$7),1,0))+IF(J6="",0,IF(LOWER(TRIM(J6))=IF($C6="Б",Ключ!$C$8,Ключ!$B$8),1,0))+IF(K6="",0,IF(LOWER(TRIM(K6))=IF($C6="Б",Ключ!$C$9,Ключ!$B$9),1,0))+IF(L6="",0,IF(LOWER(TRIM(L6))=IF($C6="Б",Ключ!$C$10,Ключ!$B$10),1,0))+IF(M6="",0,IF(LOWER(TRIM(M6))=IF($C6="Б",Ключ!$C$11,Ключ!$B$11),1,0))+IF(N6="",0,IF(LOWER(TRIM(N6))=IF($C6="Б",Ключ!$C$12,Ключ!$B$12),1,0))+IF(O6="",0,IF(LOWER(TRIM(O6))=IF($C6="Б",Ключ!$C$13,Ключ!$B$13),1,0))+IF(P6="",0,IF(LOWER(TRIM(P6))=IF($C6="Б",Ключ!$C$14,Ключ!$B$14),1,0))+IF(Q6="",0,IF(LOWER(TRIM(Q6))=IF($C6="Б",Ключ!$C$15,Ключ!$B$15),1,0)))</f>
        <v/>
      </c>
      <c r="S6" s="3" t="n"/>
      <c r="T6" s="3" t="n"/>
      <c r="U6" s="3" t="n"/>
      <c r="V6" s="3" t="n"/>
      <c r="W6" s="3" t="n"/>
      <c r="X6" s="3" t="n"/>
      <c r="Y6" s="3">
        <f>IF($C6="","",R6+SUM(S6:X6))</f>
        <v/>
      </c>
      <c r="Z6" s="3">
        <f>IF($C6="","",IF(Y6&gt;=15,"да","нет"))</f>
        <v/>
      </c>
      <c r="AA6" s="3">
        <f>IF($C6="","",ROUND(Y6/3,1))</f>
        <v/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>
        <f>IF($C7="","",IF(D7="",0,IF(LOWER(TRIM(D7))=IF($C7="Б",Ключ!$C$2,Ключ!$B$2),1,0))+IF(E7="",0,IF(LOWER(TRIM(E7))=IF($C7="Б",Ключ!$C$3,Ключ!$B$3),1,0))+IF(F7="",0,IF(LOWER(TRIM(F7))=IF($C7="Б",Ключ!$C$4,Ключ!$B$4),1,0))+IF(G7="",0,IF(LOWER(TRIM(G7))=IF($C7="Б",Ключ!$C$5,Ключ!$B$5),1,0))+IF(H7="",0,IF(LOWER(TRIM(H7))=IF($C7="Б",Ключ!$C$6,Ключ!$B$6),1,0))+IF(I7="",0,IF(LOWER(TRIM(I7))=IF($C7="Б",Ключ!$C$7,Ключ!$B$7),1,0))+IF(J7="",0,IF(LOWER(TRIM(J7))=IF($C7="Б",Ключ!$C$8,Ключ!$B$8),1,0))+IF(K7="",0,IF(LOWER(TRIM(K7))=IF($C7="Б",Ключ!$C$9,Ключ!$B$9),1,0))+IF(L7="",0,IF(LOWER(TRIM(L7))=IF($C7="Б",Ключ!$C$10,Ключ!$B$10),1,0))+IF(M7="",0,IF(LOWER(TRIM(M7))=IF($C7="Б",Ключ!$C$11,Ключ!$B$11),1,0))+IF(N7="",0,IF(LOWER(TRIM(N7))=IF($C7="Б",Ключ!$C$12,Ключ!$B$12),1,0))+IF(O7="",0,IF(LOWER(TRIM(O7))=IF($C7="Б",Ключ!$C$13,Ключ!$B$13),1,0))+IF(P7="",0,IF(LOWER(TRIM(P7))=IF($C7="Б",Ключ!$C$14,Ключ!$B$14),1,0))+IF(Q7="",0,IF(LOWER(TRIM(Q7))=IF($C7="Б",Ключ!$C$15,Ключ!$B$15),1,0)))</f>
        <v/>
      </c>
      <c r="S7" s="3" t="n"/>
      <c r="T7" s="3" t="n"/>
      <c r="U7" s="3" t="n"/>
      <c r="V7" s="3" t="n"/>
      <c r="W7" s="3" t="n"/>
      <c r="X7" s="3" t="n"/>
      <c r="Y7" s="3">
        <f>IF($C7="","",R7+SUM(S7:X7))</f>
        <v/>
      </c>
      <c r="Z7" s="3">
        <f>IF($C7="","",IF(Y7&gt;=15,"да","нет"))</f>
        <v/>
      </c>
      <c r="AA7" s="3">
        <f>IF($C7="","",ROUND(Y7/3,1))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>
        <f>IF($C8="","",IF(D8="",0,IF(LOWER(TRIM(D8))=IF($C8="Б",Ключ!$C$2,Ключ!$B$2),1,0))+IF(E8="",0,IF(LOWER(TRIM(E8))=IF($C8="Б",Ключ!$C$3,Ключ!$B$3),1,0))+IF(F8="",0,IF(LOWER(TRIM(F8))=IF($C8="Б",Ключ!$C$4,Ключ!$B$4),1,0))+IF(G8="",0,IF(LOWER(TRIM(G8))=IF($C8="Б",Ключ!$C$5,Ключ!$B$5),1,0))+IF(H8="",0,IF(LOWER(TRIM(H8))=IF($C8="Б",Ключ!$C$6,Ключ!$B$6),1,0))+IF(I8="",0,IF(LOWER(TRIM(I8))=IF($C8="Б",Ключ!$C$7,Ключ!$B$7),1,0))+IF(J8="",0,IF(LOWER(TRIM(J8))=IF($C8="Б",Ключ!$C$8,Ключ!$B$8),1,0))+IF(K8="",0,IF(LOWER(TRIM(K8))=IF($C8="Б",Ключ!$C$9,Ключ!$B$9),1,0))+IF(L8="",0,IF(LOWER(TRIM(L8))=IF($C8="Б",Ключ!$C$10,Ключ!$B$10),1,0))+IF(M8="",0,IF(LOWER(TRIM(M8))=IF($C8="Б",Ключ!$C$11,Ключ!$B$11),1,0))+IF(N8="",0,IF(LOWER(TRIM(N8))=IF($C8="Б",Ключ!$C$12,Ключ!$B$12),1,0))+IF(O8="",0,IF(LOWER(TRIM(O8))=IF($C8="Б",Ключ!$C$13,Ключ!$B$13),1,0))+IF(P8="",0,IF(LOWER(TRIM(P8))=IF($C8="Б",Ключ!$C$14,Ключ!$B$14),1,0))+IF(Q8="",0,IF(LOWER(TRIM(Q8))=IF($C8="Б",Ключ!$C$15,Ключ!$B$15),1,0)))</f>
        <v/>
      </c>
      <c r="S8" s="3" t="n"/>
      <c r="T8" s="3" t="n"/>
      <c r="U8" s="3" t="n"/>
      <c r="V8" s="3" t="n"/>
      <c r="W8" s="3" t="n"/>
      <c r="X8" s="3" t="n"/>
      <c r="Y8" s="3">
        <f>IF($C8="","",R8+SUM(S8:X8))</f>
        <v/>
      </c>
      <c r="Z8" s="3">
        <f>IF($C8="","",IF(Y8&gt;=15,"да","нет"))</f>
        <v/>
      </c>
      <c r="AA8" s="3">
        <f>IF($C8="","",ROUND(Y8/3,1))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>
        <f>IF($C9="","",IF(D9="",0,IF(LOWER(TRIM(D9))=IF($C9="Б",Ключ!$C$2,Ключ!$B$2),1,0))+IF(E9="",0,IF(LOWER(TRIM(E9))=IF($C9="Б",Ключ!$C$3,Ключ!$B$3),1,0))+IF(F9="",0,IF(LOWER(TRIM(F9))=IF($C9="Б",Ключ!$C$4,Ключ!$B$4),1,0))+IF(G9="",0,IF(LOWER(TRIM(G9))=IF($C9="Б",Ключ!$C$5,Ключ!$B$5),1,0))+IF(H9="",0,IF(LOWER(TRIM(H9))=IF($C9="Б",Ключ!$C$6,Ключ!$B$6),1,0))+IF(I9="",0,IF(LOWER(TRIM(I9))=IF($C9="Б",Ключ!$C$7,Ключ!$B$7),1,0))+IF(J9="",0,IF(LOWER(TRIM(J9))=IF($C9="Б",Ключ!$C$8,Ключ!$B$8),1,0))+IF(K9="",0,IF(LOWER(TRIM(K9))=IF($C9="Б",Ключ!$C$9,Ключ!$B$9),1,0))+IF(L9="",0,IF(LOWER(TRIM(L9))=IF($C9="Б",Ключ!$C$10,Ключ!$B$10),1,0))+IF(M9="",0,IF(LOWER(TRIM(M9))=IF($C9="Б",Ключ!$C$11,Ключ!$B$11),1,0))+IF(N9="",0,IF(LOWER(TRIM(N9))=IF($C9="Б",Ключ!$C$12,Ключ!$B$12),1,0))+IF(O9="",0,IF(LOWER(TRIM(O9))=IF($C9="Б",Ключ!$C$13,Ключ!$B$13),1,0))+IF(P9="",0,IF(LOWER(TRIM(P9))=IF($C9="Б",Ключ!$C$14,Ключ!$B$14),1,0))+IF(Q9="",0,IF(LOWER(TRIM(Q9))=IF($C9="Б",Ключ!$C$15,Ключ!$B$15),1,0)))</f>
        <v/>
      </c>
      <c r="S9" s="3" t="n"/>
      <c r="T9" s="3" t="n"/>
      <c r="U9" s="3" t="n"/>
      <c r="V9" s="3" t="n"/>
      <c r="W9" s="3" t="n"/>
      <c r="X9" s="3" t="n"/>
      <c r="Y9" s="3">
        <f>IF($C9="","",R9+SUM(S9:X9))</f>
        <v/>
      </c>
      <c r="Z9" s="3">
        <f>IF($C9="","",IF(Y9&gt;=15,"да","нет"))</f>
        <v/>
      </c>
      <c r="AA9" s="3">
        <f>IF($C9="","",ROUND(Y9/3,1))</f>
        <v/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>
        <f>IF($C10="","",IF(D10="",0,IF(LOWER(TRIM(D10))=IF($C10="Б",Ключ!$C$2,Ключ!$B$2),1,0))+IF(E10="",0,IF(LOWER(TRIM(E10))=IF($C10="Б",Ключ!$C$3,Ключ!$B$3),1,0))+IF(F10="",0,IF(LOWER(TRIM(F10))=IF($C10="Б",Ключ!$C$4,Ключ!$B$4),1,0))+IF(G10="",0,IF(LOWER(TRIM(G10))=IF($C10="Б",Ключ!$C$5,Ключ!$B$5),1,0))+IF(H10="",0,IF(LOWER(TRIM(H10))=IF($C10="Б",Ключ!$C$6,Ключ!$B$6),1,0))+IF(I10="",0,IF(LOWER(TRIM(I10))=IF($C10="Б",Ключ!$C$7,Ключ!$B$7),1,0))+IF(J10="",0,IF(LOWER(TRIM(J10))=IF($C10="Б",Ключ!$C$8,Ключ!$B$8),1,0))+IF(K10="",0,IF(LOWER(TRIM(K10))=IF($C10="Б",Ключ!$C$9,Ключ!$B$9),1,0))+IF(L10="",0,IF(LOWER(TRIM(L10))=IF($C10="Б",Ключ!$C$10,Ключ!$B$10),1,0))+IF(M10="",0,IF(LOWER(TRIM(M10))=IF($C10="Б",Ключ!$C$11,Ключ!$B$11),1,0))+IF(N10="",0,IF(LOWER(TRIM(N10))=IF($C10="Б",Ключ!$C$12,Ключ!$B$12),1,0))+IF(O10="",0,IF(LOWER(TRIM(O10))=IF($C10="Б",Ключ!$C$13,Ключ!$B$13),1,0))+IF(P10="",0,IF(LOWER(TRIM(P10))=IF($C10="Б",Ключ!$C$14,Ключ!$B$14),1,0))+IF(Q10="",0,IF(LOWER(TRIM(Q10))=IF($C10="Б",Ключ!$C$15,Ключ!$B$15),1,0)))</f>
        <v/>
      </c>
      <c r="S10" s="3" t="n"/>
      <c r="T10" s="3" t="n"/>
      <c r="U10" s="3" t="n"/>
      <c r="V10" s="3" t="n"/>
      <c r="W10" s="3" t="n"/>
      <c r="X10" s="3" t="n"/>
      <c r="Y10" s="3">
        <f>IF($C10="","",R10+SUM(S10:X10))</f>
        <v/>
      </c>
      <c r="Z10" s="3">
        <f>IF($C10="","",IF(Y10&gt;=15,"да","нет"))</f>
        <v/>
      </c>
      <c r="AA10" s="3">
        <f>IF($C10="","",ROUND(Y10/3,1))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>
        <f>IF($C11="","",IF(D11="",0,IF(LOWER(TRIM(D11))=IF($C11="Б",Ключ!$C$2,Ключ!$B$2),1,0))+IF(E11="",0,IF(LOWER(TRIM(E11))=IF($C11="Б",Ключ!$C$3,Ключ!$B$3),1,0))+IF(F11="",0,IF(LOWER(TRIM(F11))=IF($C11="Б",Ключ!$C$4,Ключ!$B$4),1,0))+IF(G11="",0,IF(LOWER(TRIM(G11))=IF($C11="Б",Ключ!$C$5,Ключ!$B$5),1,0))+IF(H11="",0,IF(LOWER(TRIM(H11))=IF($C11="Б",Ключ!$C$6,Ключ!$B$6),1,0))+IF(I11="",0,IF(LOWER(TRIM(I11))=IF($C11="Б",Ключ!$C$7,Ключ!$B$7),1,0))+IF(J11="",0,IF(LOWER(TRIM(J11))=IF($C11="Б",Ключ!$C$8,Ключ!$B$8),1,0))+IF(K11="",0,IF(LOWER(TRIM(K11))=IF($C11="Б",Ключ!$C$9,Ключ!$B$9),1,0))+IF(L11="",0,IF(LOWER(TRIM(L11))=IF($C11="Б",Ключ!$C$10,Ключ!$B$10),1,0))+IF(M11="",0,IF(LOWER(TRIM(M11))=IF($C11="Б",Ключ!$C$11,Ключ!$B$11),1,0))+IF(N11="",0,IF(LOWER(TRIM(N11))=IF($C11="Б",Ключ!$C$12,Ключ!$B$12),1,0))+IF(O11="",0,IF(LOWER(TRIM(O11))=IF($C11="Б",Ключ!$C$13,Ключ!$B$13),1,0))+IF(P11="",0,IF(LOWER(TRIM(P11))=IF($C11="Б",Ключ!$C$14,Ключ!$B$14),1,0))+IF(Q11="",0,IF(LOWER(TRIM(Q11))=IF($C11="Б",Ключ!$C$15,Ключ!$B$15),1,0)))</f>
        <v/>
      </c>
      <c r="S11" s="3" t="n"/>
      <c r="T11" s="3" t="n"/>
      <c r="U11" s="3" t="n"/>
      <c r="V11" s="3" t="n"/>
      <c r="W11" s="3" t="n"/>
      <c r="X11" s="3" t="n"/>
      <c r="Y11" s="3">
        <f>IF($C11="","",R11+SUM(S11:X11))</f>
        <v/>
      </c>
      <c r="Z11" s="3">
        <f>IF($C11="","",IF(Y11&gt;=15,"да","нет"))</f>
        <v/>
      </c>
      <c r="AA11" s="3">
        <f>IF($C11="","",ROUND(Y11/3,1))</f>
        <v/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>
        <f>IF($C12="","",IF(D12="",0,IF(LOWER(TRIM(D12))=IF($C12="Б",Ключ!$C$2,Ключ!$B$2),1,0))+IF(E12="",0,IF(LOWER(TRIM(E12))=IF($C12="Б",Ключ!$C$3,Ключ!$B$3),1,0))+IF(F12="",0,IF(LOWER(TRIM(F12))=IF($C12="Б",Ключ!$C$4,Ключ!$B$4),1,0))+IF(G12="",0,IF(LOWER(TRIM(G12))=IF($C12="Б",Ключ!$C$5,Ключ!$B$5),1,0))+IF(H12="",0,IF(LOWER(TRIM(H12))=IF($C12="Б",Ключ!$C$6,Ключ!$B$6),1,0))+IF(I12="",0,IF(LOWER(TRIM(I12))=IF($C12="Б",Ключ!$C$7,Ключ!$B$7),1,0))+IF(J12="",0,IF(LOWER(TRIM(J12))=IF($C12="Б",Ключ!$C$8,Ключ!$B$8),1,0))+IF(K12="",0,IF(LOWER(TRIM(K12))=IF($C12="Б",Ключ!$C$9,Ключ!$B$9),1,0))+IF(L12="",0,IF(LOWER(TRIM(L12))=IF($C12="Б",Ключ!$C$10,Ключ!$B$10),1,0))+IF(M12="",0,IF(LOWER(TRIM(M12))=IF($C12="Б",Ключ!$C$11,Ключ!$B$11),1,0))+IF(N12="",0,IF(LOWER(TRIM(N12))=IF($C12="Б",Ключ!$C$12,Ключ!$B$12),1,0))+IF(O12="",0,IF(LOWER(TRIM(O12))=IF($C12="Б",Ключ!$C$13,Ключ!$B$13),1,0))+IF(P12="",0,IF(LOWER(TRIM(P12))=IF($C12="Б",Ключ!$C$14,Ключ!$B$14),1,0))+IF(Q12="",0,IF(LOWER(TRIM(Q12))=IF($C12="Б",Ключ!$C$15,Ключ!$B$15),1,0)))</f>
        <v/>
      </c>
      <c r="S12" s="3" t="n"/>
      <c r="T12" s="3" t="n"/>
      <c r="U12" s="3" t="n"/>
      <c r="V12" s="3" t="n"/>
      <c r="W12" s="3" t="n"/>
      <c r="X12" s="3" t="n"/>
      <c r="Y12" s="3">
        <f>IF($C12="","",R12+SUM(S12:X12))</f>
        <v/>
      </c>
      <c r="Z12" s="3">
        <f>IF($C12="","",IF(Y12&gt;=15,"да","нет"))</f>
        <v/>
      </c>
      <c r="AA12" s="3">
        <f>IF($C12="","",ROUND(Y12/3,1))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>
        <f>IF($C13="","",IF(D13="",0,IF(LOWER(TRIM(D13))=IF($C13="Б",Ключ!$C$2,Ключ!$B$2),1,0))+IF(E13="",0,IF(LOWER(TRIM(E13))=IF($C13="Б",Ключ!$C$3,Ключ!$B$3),1,0))+IF(F13="",0,IF(LOWER(TRIM(F13))=IF($C13="Б",Ключ!$C$4,Ключ!$B$4),1,0))+IF(G13="",0,IF(LOWER(TRIM(G13))=IF($C13="Б",Ключ!$C$5,Ключ!$B$5),1,0))+IF(H13="",0,IF(LOWER(TRIM(H13))=IF($C13="Б",Ключ!$C$6,Ключ!$B$6),1,0))+IF(I13="",0,IF(LOWER(TRIM(I13))=IF($C13="Б",Ключ!$C$7,Ключ!$B$7),1,0))+IF(J13="",0,IF(LOWER(TRIM(J13))=IF($C13="Б",Ключ!$C$8,Ключ!$B$8),1,0))+IF(K13="",0,IF(LOWER(TRIM(K13))=IF($C13="Б",Ключ!$C$9,Ключ!$B$9),1,0))+IF(L13="",0,IF(LOWER(TRIM(L13))=IF($C13="Б",Ключ!$C$10,Ключ!$B$10),1,0))+IF(M13="",0,IF(LOWER(TRIM(M13))=IF($C13="Б",Ключ!$C$11,Ключ!$B$11),1,0))+IF(N13="",0,IF(LOWER(TRIM(N13))=IF($C13="Б",Ключ!$C$12,Ключ!$B$12),1,0))+IF(O13="",0,IF(LOWER(TRIM(O13))=IF($C13="Б",Ключ!$C$13,Ключ!$B$13),1,0))+IF(P13="",0,IF(LOWER(TRIM(P13))=IF($C13="Б",Ключ!$C$14,Ключ!$B$14),1,0))+IF(Q13="",0,IF(LOWER(TRIM(Q13))=IF($C13="Б",Ключ!$C$15,Ключ!$B$15),1,0)))</f>
        <v/>
      </c>
      <c r="S13" s="3" t="n"/>
      <c r="T13" s="3" t="n"/>
      <c r="U13" s="3" t="n"/>
      <c r="V13" s="3" t="n"/>
      <c r="W13" s="3" t="n"/>
      <c r="X13" s="3" t="n"/>
      <c r="Y13" s="3">
        <f>IF($C13="","",R13+SUM(S13:X13))</f>
        <v/>
      </c>
      <c r="Z13" s="3">
        <f>IF($C13="","",IF(Y13&gt;=15,"да","нет"))</f>
        <v/>
      </c>
      <c r="AA13" s="3">
        <f>IF($C13="","",ROUND(Y13/3,1))</f>
        <v/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>
        <f>IF($C14="","",IF(D14="",0,IF(LOWER(TRIM(D14))=IF($C14="Б",Ключ!$C$2,Ключ!$B$2),1,0))+IF(E14="",0,IF(LOWER(TRIM(E14))=IF($C14="Б",Ключ!$C$3,Ключ!$B$3),1,0))+IF(F14="",0,IF(LOWER(TRIM(F14))=IF($C14="Б",Ключ!$C$4,Ключ!$B$4),1,0))+IF(G14="",0,IF(LOWER(TRIM(G14))=IF($C14="Б",Ключ!$C$5,Ключ!$B$5),1,0))+IF(H14="",0,IF(LOWER(TRIM(H14))=IF($C14="Б",Ключ!$C$6,Ключ!$B$6),1,0))+IF(I14="",0,IF(LOWER(TRIM(I14))=IF($C14="Б",Ключ!$C$7,Ключ!$B$7),1,0))+IF(J14="",0,IF(LOWER(TRIM(J14))=IF($C14="Б",Ключ!$C$8,Ключ!$B$8),1,0))+IF(K14="",0,IF(LOWER(TRIM(K14))=IF($C14="Б",Ключ!$C$9,Ключ!$B$9),1,0))+IF(L14="",0,IF(LOWER(TRIM(L14))=IF($C14="Б",Ключ!$C$10,Ключ!$B$10),1,0))+IF(M14="",0,IF(LOWER(TRIM(M14))=IF($C14="Б",Ключ!$C$11,Ключ!$B$11),1,0))+IF(N14="",0,IF(LOWER(TRIM(N14))=IF($C14="Б",Ключ!$C$12,Ключ!$B$12),1,0))+IF(O14="",0,IF(LOWER(TRIM(O14))=IF($C14="Б",Ключ!$C$13,Ключ!$B$13),1,0))+IF(P14="",0,IF(LOWER(TRIM(P14))=IF($C14="Б",Ключ!$C$14,Ключ!$B$14),1,0))+IF(Q14="",0,IF(LOWER(TRIM(Q14))=IF($C14="Б",Ключ!$C$15,Ключ!$B$15),1,0)))</f>
        <v/>
      </c>
      <c r="S14" s="3" t="n"/>
      <c r="T14" s="3" t="n"/>
      <c r="U14" s="3" t="n"/>
      <c r="V14" s="3" t="n"/>
      <c r="W14" s="3" t="n"/>
      <c r="X14" s="3" t="n"/>
      <c r="Y14" s="3">
        <f>IF($C14="","",R14+SUM(S14:X14))</f>
        <v/>
      </c>
      <c r="Z14" s="3">
        <f>IF($C14="","",IF(Y14&gt;=15,"да","нет"))</f>
        <v/>
      </c>
      <c r="AA14" s="3">
        <f>IF($C14="","",ROUND(Y14/3,1))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>
        <f>IF($C15="","",IF(D15="",0,IF(LOWER(TRIM(D15))=IF($C15="Б",Ключ!$C$2,Ключ!$B$2),1,0))+IF(E15="",0,IF(LOWER(TRIM(E15))=IF($C15="Б",Ключ!$C$3,Ключ!$B$3),1,0))+IF(F15="",0,IF(LOWER(TRIM(F15))=IF($C15="Б",Ключ!$C$4,Ключ!$B$4),1,0))+IF(G15="",0,IF(LOWER(TRIM(G15))=IF($C15="Б",Ключ!$C$5,Ключ!$B$5),1,0))+IF(H15="",0,IF(LOWER(TRIM(H15))=IF($C15="Б",Ключ!$C$6,Ключ!$B$6),1,0))+IF(I15="",0,IF(LOWER(TRIM(I15))=IF($C15="Б",Ключ!$C$7,Ключ!$B$7),1,0))+IF(J15="",0,IF(LOWER(TRIM(J15))=IF($C15="Б",Ключ!$C$8,Ключ!$B$8),1,0))+IF(K15="",0,IF(LOWER(TRIM(K15))=IF($C15="Б",Ключ!$C$9,Ключ!$B$9),1,0))+IF(L15="",0,IF(LOWER(TRIM(L15))=IF($C15="Б",Ключ!$C$10,Ключ!$B$10),1,0))+IF(M15="",0,IF(LOWER(TRIM(M15))=IF($C15="Б",Ключ!$C$11,Ключ!$B$11),1,0))+IF(N15="",0,IF(LOWER(TRIM(N15))=IF($C15="Б",Ключ!$C$12,Ключ!$B$12),1,0))+IF(O15="",0,IF(LOWER(TRIM(O15))=IF($C15="Б",Ключ!$C$13,Ключ!$B$13),1,0))+IF(P15="",0,IF(LOWER(TRIM(P15))=IF($C15="Б",Ключ!$C$14,Ключ!$B$14),1,0))+IF(Q15="",0,IF(LOWER(TRIM(Q15))=IF($C15="Б",Ключ!$C$15,Ключ!$B$15),1,0)))</f>
        <v/>
      </c>
      <c r="S15" s="3" t="n"/>
      <c r="T15" s="3" t="n"/>
      <c r="U15" s="3" t="n"/>
      <c r="V15" s="3" t="n"/>
      <c r="W15" s="3" t="n"/>
      <c r="X15" s="3" t="n"/>
      <c r="Y15" s="3">
        <f>IF($C15="","",R15+SUM(S15:X15))</f>
        <v/>
      </c>
      <c r="Z15" s="3">
        <f>IF($C15="","",IF(Y15&gt;=15,"да","нет"))</f>
        <v/>
      </c>
      <c r="AA15" s="3">
        <f>IF($C15="","",ROUND(Y15/3,1))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>
        <f>IF($C16="","",IF(D16="",0,IF(LOWER(TRIM(D16))=IF($C16="Б",Ключ!$C$2,Ключ!$B$2),1,0))+IF(E16="",0,IF(LOWER(TRIM(E16))=IF($C16="Б",Ключ!$C$3,Ключ!$B$3),1,0))+IF(F16="",0,IF(LOWER(TRIM(F16))=IF($C16="Б",Ключ!$C$4,Ключ!$B$4),1,0))+IF(G16="",0,IF(LOWER(TRIM(G16))=IF($C16="Б",Ключ!$C$5,Ключ!$B$5),1,0))+IF(H16="",0,IF(LOWER(TRIM(H16))=IF($C16="Б",Ключ!$C$6,Ключ!$B$6),1,0))+IF(I16="",0,IF(LOWER(TRIM(I16))=IF($C16="Б",Ключ!$C$7,Ключ!$B$7),1,0))+IF(J16="",0,IF(LOWER(TRIM(J16))=IF($C16="Б",Ключ!$C$8,Ключ!$B$8),1,0))+IF(K16="",0,IF(LOWER(TRIM(K16))=IF($C16="Б",Ключ!$C$9,Ключ!$B$9),1,0))+IF(L16="",0,IF(LOWER(TRIM(L16))=IF($C16="Б",Ключ!$C$10,Ключ!$B$10),1,0))+IF(M16="",0,IF(LOWER(TRIM(M16))=IF($C16="Б",Ключ!$C$11,Ключ!$B$11),1,0))+IF(N16="",0,IF(LOWER(TRIM(N16))=IF($C16="Б",Ключ!$C$12,Ключ!$B$12),1,0))+IF(O16="",0,IF(LOWER(TRIM(O16))=IF($C16="Б",Ключ!$C$13,Ключ!$B$13),1,0))+IF(P16="",0,IF(LOWER(TRIM(P16))=IF($C16="Б",Ключ!$C$14,Ключ!$B$14),1,0))+IF(Q16="",0,IF(LOWER(TRIM(Q16))=IF($C16="Б",Ключ!$C$15,Ключ!$B$15),1,0)))</f>
        <v/>
      </c>
      <c r="S16" s="3" t="n"/>
      <c r="T16" s="3" t="n"/>
      <c r="U16" s="3" t="n"/>
      <c r="V16" s="3" t="n"/>
      <c r="W16" s="3" t="n"/>
      <c r="X16" s="3" t="n"/>
      <c r="Y16" s="3">
        <f>IF($C16="","",R16+SUM(S16:X16))</f>
        <v/>
      </c>
      <c r="Z16" s="3">
        <f>IF($C16="","",IF(Y16&gt;=15,"да","нет"))</f>
        <v/>
      </c>
      <c r="AA16" s="3">
        <f>IF($C16="","",ROUND(Y16/3,1))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>
        <f>IF($C17="","",IF(D17="",0,IF(LOWER(TRIM(D17))=IF($C17="Б",Ключ!$C$2,Ключ!$B$2),1,0))+IF(E17="",0,IF(LOWER(TRIM(E17))=IF($C17="Б",Ключ!$C$3,Ключ!$B$3),1,0))+IF(F17="",0,IF(LOWER(TRIM(F17))=IF($C17="Б",Ключ!$C$4,Ключ!$B$4),1,0))+IF(G17="",0,IF(LOWER(TRIM(G17))=IF($C17="Б",Ключ!$C$5,Ключ!$B$5),1,0))+IF(H17="",0,IF(LOWER(TRIM(H17))=IF($C17="Б",Ключ!$C$6,Ключ!$B$6),1,0))+IF(I17="",0,IF(LOWER(TRIM(I17))=IF($C17="Б",Ключ!$C$7,Ключ!$B$7),1,0))+IF(J17="",0,IF(LOWER(TRIM(J17))=IF($C17="Б",Ключ!$C$8,Ключ!$B$8),1,0))+IF(K17="",0,IF(LOWER(TRIM(K17))=IF($C17="Б",Ключ!$C$9,Ключ!$B$9),1,0))+IF(L17="",0,IF(LOWER(TRIM(L17))=IF($C17="Б",Ключ!$C$10,Ключ!$B$10),1,0))+IF(M17="",0,IF(LOWER(TRIM(M17))=IF($C17="Б",Ключ!$C$11,Ключ!$B$11),1,0))+IF(N17="",0,IF(LOWER(TRIM(N17))=IF($C17="Б",Ключ!$C$12,Ключ!$B$12),1,0))+IF(O17="",0,IF(LOWER(TRIM(O17))=IF($C17="Б",Ключ!$C$13,Ключ!$B$13),1,0))+IF(P17="",0,IF(LOWER(TRIM(P17))=IF($C17="Б",Ключ!$C$14,Ключ!$B$14),1,0))+IF(Q17="",0,IF(LOWER(TRIM(Q17))=IF($C17="Б",Ключ!$C$15,Ключ!$B$15),1,0)))</f>
        <v/>
      </c>
      <c r="S17" s="3" t="n"/>
      <c r="T17" s="3" t="n"/>
      <c r="U17" s="3" t="n"/>
      <c r="V17" s="3" t="n"/>
      <c r="W17" s="3" t="n"/>
      <c r="X17" s="3" t="n"/>
      <c r="Y17" s="3">
        <f>IF($C17="","",R17+SUM(S17:X17))</f>
        <v/>
      </c>
      <c r="Z17" s="3">
        <f>IF($C17="","",IF(Y17&gt;=15,"да","нет"))</f>
        <v/>
      </c>
      <c r="AA17" s="3">
        <f>IF($C17="","",ROUND(Y17/3,1))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>
        <f>IF($C18="","",IF(D18="",0,IF(LOWER(TRIM(D18))=IF($C18="Б",Ключ!$C$2,Ключ!$B$2),1,0))+IF(E18="",0,IF(LOWER(TRIM(E18))=IF($C18="Б",Ключ!$C$3,Ключ!$B$3),1,0))+IF(F18="",0,IF(LOWER(TRIM(F18))=IF($C18="Б",Ключ!$C$4,Ключ!$B$4),1,0))+IF(G18="",0,IF(LOWER(TRIM(G18))=IF($C18="Б",Ключ!$C$5,Ключ!$B$5),1,0))+IF(H18="",0,IF(LOWER(TRIM(H18))=IF($C18="Б",Ключ!$C$6,Ключ!$B$6),1,0))+IF(I18="",0,IF(LOWER(TRIM(I18))=IF($C18="Б",Ключ!$C$7,Ключ!$B$7),1,0))+IF(J18="",0,IF(LOWER(TRIM(J18))=IF($C18="Б",Ключ!$C$8,Ключ!$B$8),1,0))+IF(K18="",0,IF(LOWER(TRIM(K18))=IF($C18="Б",Ключ!$C$9,Ключ!$B$9),1,0))+IF(L18="",0,IF(LOWER(TRIM(L18))=IF($C18="Б",Ключ!$C$10,Ключ!$B$10),1,0))+IF(M18="",0,IF(LOWER(TRIM(M18))=IF($C18="Б",Ключ!$C$11,Ключ!$B$11),1,0))+IF(N18="",0,IF(LOWER(TRIM(N18))=IF($C18="Б",Ключ!$C$12,Ключ!$B$12),1,0))+IF(O18="",0,IF(LOWER(TRIM(O18))=IF($C18="Б",Ключ!$C$13,Ключ!$B$13),1,0))+IF(P18="",0,IF(LOWER(TRIM(P18))=IF($C18="Б",Ключ!$C$14,Ключ!$B$14),1,0))+IF(Q18="",0,IF(LOWER(TRIM(Q18))=IF($C18="Б",Ключ!$C$15,Ключ!$B$15),1,0)))</f>
        <v/>
      </c>
      <c r="S18" s="3" t="n"/>
      <c r="T18" s="3" t="n"/>
      <c r="U18" s="3" t="n"/>
      <c r="V18" s="3" t="n"/>
      <c r="W18" s="3" t="n"/>
      <c r="X18" s="3" t="n"/>
      <c r="Y18" s="3">
        <f>IF($C18="","",R18+SUM(S18:X18))</f>
        <v/>
      </c>
      <c r="Z18" s="3">
        <f>IF($C18="","",IF(Y18&gt;=15,"да","нет"))</f>
        <v/>
      </c>
      <c r="AA18" s="3">
        <f>IF($C18="","",ROUND(Y18/3,1))</f>
        <v/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>
        <f>IF($C19="","",IF(D19="",0,IF(LOWER(TRIM(D19))=IF($C19="Б",Ключ!$C$2,Ключ!$B$2),1,0))+IF(E19="",0,IF(LOWER(TRIM(E19))=IF($C19="Б",Ключ!$C$3,Ключ!$B$3),1,0))+IF(F19="",0,IF(LOWER(TRIM(F19))=IF($C19="Б",Ключ!$C$4,Ключ!$B$4),1,0))+IF(G19="",0,IF(LOWER(TRIM(G19))=IF($C19="Б",Ключ!$C$5,Ключ!$B$5),1,0))+IF(H19="",0,IF(LOWER(TRIM(H19))=IF($C19="Б",Ключ!$C$6,Ключ!$B$6),1,0))+IF(I19="",0,IF(LOWER(TRIM(I19))=IF($C19="Б",Ключ!$C$7,Ключ!$B$7),1,0))+IF(J19="",0,IF(LOWER(TRIM(J19))=IF($C19="Б",Ключ!$C$8,Ключ!$B$8),1,0))+IF(K19="",0,IF(LOWER(TRIM(K19))=IF($C19="Б",Ключ!$C$9,Ключ!$B$9),1,0))+IF(L19="",0,IF(LOWER(TRIM(L19))=IF($C19="Б",Ключ!$C$10,Ключ!$B$10),1,0))+IF(M19="",0,IF(LOWER(TRIM(M19))=IF($C19="Б",Ключ!$C$11,Ключ!$B$11),1,0))+IF(N19="",0,IF(LOWER(TRIM(N19))=IF($C19="Б",Ключ!$C$12,Ключ!$B$12),1,0))+IF(O19="",0,IF(LOWER(TRIM(O19))=IF($C19="Б",Ключ!$C$13,Ключ!$B$13),1,0))+IF(P19="",0,IF(LOWER(TRIM(P19))=IF($C19="Б",Ключ!$C$14,Ключ!$B$14),1,0))+IF(Q19="",0,IF(LOWER(TRIM(Q19))=IF($C19="Б",Ключ!$C$15,Ключ!$B$15),1,0)))</f>
        <v/>
      </c>
      <c r="S19" s="3" t="n"/>
      <c r="T19" s="3" t="n"/>
      <c r="U19" s="3" t="n"/>
      <c r="V19" s="3" t="n"/>
      <c r="W19" s="3" t="n"/>
      <c r="X19" s="3" t="n"/>
      <c r="Y19" s="3">
        <f>IF($C19="","",R19+SUM(S19:X19))</f>
        <v/>
      </c>
      <c r="Z19" s="3">
        <f>IF($C19="","",IF(Y19&gt;=15,"да","нет"))</f>
        <v/>
      </c>
      <c r="AA19" s="3">
        <f>IF($C19="","",ROUND(Y19/3,1))</f>
        <v/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>
        <f>IF($C20="","",IF(D20="",0,IF(LOWER(TRIM(D20))=IF($C20="Б",Ключ!$C$2,Ключ!$B$2),1,0))+IF(E20="",0,IF(LOWER(TRIM(E20))=IF($C20="Б",Ключ!$C$3,Ключ!$B$3),1,0))+IF(F20="",0,IF(LOWER(TRIM(F20))=IF($C20="Б",Ключ!$C$4,Ключ!$B$4),1,0))+IF(G20="",0,IF(LOWER(TRIM(G20))=IF($C20="Б",Ключ!$C$5,Ключ!$B$5),1,0))+IF(H20="",0,IF(LOWER(TRIM(H20))=IF($C20="Б",Ключ!$C$6,Ключ!$B$6),1,0))+IF(I20="",0,IF(LOWER(TRIM(I20))=IF($C20="Б",Ключ!$C$7,Ключ!$B$7),1,0))+IF(J20="",0,IF(LOWER(TRIM(J20))=IF($C20="Б",Ключ!$C$8,Ключ!$B$8),1,0))+IF(K20="",0,IF(LOWER(TRIM(K20))=IF($C20="Б",Ключ!$C$9,Ключ!$B$9),1,0))+IF(L20="",0,IF(LOWER(TRIM(L20))=IF($C20="Б",Ключ!$C$10,Ключ!$B$10),1,0))+IF(M20="",0,IF(LOWER(TRIM(M20))=IF($C20="Б",Ключ!$C$11,Ключ!$B$11),1,0))+IF(N20="",0,IF(LOWER(TRIM(N20))=IF($C20="Б",Ключ!$C$12,Ключ!$B$12),1,0))+IF(O20="",0,IF(LOWER(TRIM(O20))=IF($C20="Б",Ключ!$C$13,Ключ!$B$13),1,0))+IF(P20="",0,IF(LOWER(TRIM(P20))=IF($C20="Б",Ключ!$C$14,Ключ!$B$14),1,0))+IF(Q20="",0,IF(LOWER(TRIM(Q20))=IF($C20="Б",Ключ!$C$15,Ключ!$B$15),1,0)))</f>
        <v/>
      </c>
      <c r="S20" s="3" t="n"/>
      <c r="T20" s="3" t="n"/>
      <c r="U20" s="3" t="n"/>
      <c r="V20" s="3" t="n"/>
      <c r="W20" s="3" t="n"/>
      <c r="X20" s="3" t="n"/>
      <c r="Y20" s="3">
        <f>IF($C20="","",R20+SUM(S20:X20))</f>
        <v/>
      </c>
      <c r="Z20" s="3">
        <f>IF($C20="","",IF(Y20&gt;=15,"да","нет"))</f>
        <v/>
      </c>
      <c r="AA20" s="3">
        <f>IF($C20="","",ROUND(Y20/3,1))</f>
        <v/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>
        <f>IF($C21="","",IF(D21="",0,IF(LOWER(TRIM(D21))=IF($C21="Б",Ключ!$C$2,Ключ!$B$2),1,0))+IF(E21="",0,IF(LOWER(TRIM(E21))=IF($C21="Б",Ключ!$C$3,Ключ!$B$3),1,0))+IF(F21="",0,IF(LOWER(TRIM(F21))=IF($C21="Б",Ключ!$C$4,Ключ!$B$4),1,0))+IF(G21="",0,IF(LOWER(TRIM(G21))=IF($C21="Б",Ключ!$C$5,Ключ!$B$5),1,0))+IF(H21="",0,IF(LOWER(TRIM(H21))=IF($C21="Б",Ключ!$C$6,Ключ!$B$6),1,0))+IF(I21="",0,IF(LOWER(TRIM(I21))=IF($C21="Б",Ключ!$C$7,Ключ!$B$7),1,0))+IF(J21="",0,IF(LOWER(TRIM(J21))=IF($C21="Б",Ключ!$C$8,Ключ!$B$8),1,0))+IF(K21="",0,IF(LOWER(TRIM(K21))=IF($C21="Б",Ключ!$C$9,Ключ!$B$9),1,0))+IF(L21="",0,IF(LOWER(TRIM(L21))=IF($C21="Б",Ключ!$C$10,Ключ!$B$10),1,0))+IF(M21="",0,IF(LOWER(TRIM(M21))=IF($C21="Б",Ключ!$C$11,Ключ!$B$11),1,0))+IF(N21="",0,IF(LOWER(TRIM(N21))=IF($C21="Б",Ключ!$C$12,Ключ!$B$12),1,0))+IF(O21="",0,IF(LOWER(TRIM(O21))=IF($C21="Б",Ключ!$C$13,Ключ!$B$13),1,0))+IF(P21="",0,IF(LOWER(TRIM(P21))=IF($C21="Б",Ключ!$C$14,Ключ!$B$14),1,0))+IF(Q21="",0,IF(LOWER(TRIM(Q21))=IF($C21="Б",Ключ!$C$15,Ключ!$B$15),1,0)))</f>
        <v/>
      </c>
      <c r="S21" s="3" t="n"/>
      <c r="T21" s="3" t="n"/>
      <c r="U21" s="3" t="n"/>
      <c r="V21" s="3" t="n"/>
      <c r="W21" s="3" t="n"/>
      <c r="X21" s="3" t="n"/>
      <c r="Y21" s="3">
        <f>IF($C21="","",R21+SUM(S21:X21))</f>
        <v/>
      </c>
      <c r="Z21" s="3">
        <f>IF($C21="","",IF(Y21&gt;=15,"да","нет"))</f>
        <v/>
      </c>
      <c r="AA21" s="3">
        <f>IF($C21="","",ROUND(Y21/3,1))</f>
        <v/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>
        <f>IF($C22="","",IF(D22="",0,IF(LOWER(TRIM(D22))=IF($C22="Б",Ключ!$C$2,Ключ!$B$2),1,0))+IF(E22="",0,IF(LOWER(TRIM(E22))=IF($C22="Б",Ключ!$C$3,Ключ!$B$3),1,0))+IF(F22="",0,IF(LOWER(TRIM(F22))=IF($C22="Б",Ключ!$C$4,Ключ!$B$4),1,0))+IF(G22="",0,IF(LOWER(TRIM(G22))=IF($C22="Б",Ключ!$C$5,Ключ!$B$5),1,0))+IF(H22="",0,IF(LOWER(TRIM(H22))=IF($C22="Б",Ключ!$C$6,Ключ!$B$6),1,0))+IF(I22="",0,IF(LOWER(TRIM(I22))=IF($C22="Б",Ключ!$C$7,Ключ!$B$7),1,0))+IF(J22="",0,IF(LOWER(TRIM(J22))=IF($C22="Б",Ключ!$C$8,Ключ!$B$8),1,0))+IF(K22="",0,IF(LOWER(TRIM(K22))=IF($C22="Б",Ключ!$C$9,Ключ!$B$9),1,0))+IF(L22="",0,IF(LOWER(TRIM(L22))=IF($C22="Б",Ключ!$C$10,Ключ!$B$10),1,0))+IF(M22="",0,IF(LOWER(TRIM(M22))=IF($C22="Б",Ключ!$C$11,Ключ!$B$11),1,0))+IF(N22="",0,IF(LOWER(TRIM(N22))=IF($C22="Б",Ключ!$C$12,Ключ!$B$12),1,0))+IF(O22="",0,IF(LOWER(TRIM(O22))=IF($C22="Б",Ключ!$C$13,Ключ!$B$13),1,0))+IF(P22="",0,IF(LOWER(TRIM(P22))=IF($C22="Б",Ключ!$C$14,Ключ!$B$14),1,0))+IF(Q22="",0,IF(LOWER(TRIM(Q22))=IF($C22="Б",Ключ!$C$15,Ключ!$B$15),1,0)))</f>
        <v/>
      </c>
      <c r="S22" s="3" t="n"/>
      <c r="T22" s="3" t="n"/>
      <c r="U22" s="3" t="n"/>
      <c r="V22" s="3" t="n"/>
      <c r="W22" s="3" t="n"/>
      <c r="X22" s="3" t="n"/>
      <c r="Y22" s="3">
        <f>IF($C22="","",R22+SUM(S22:X22))</f>
        <v/>
      </c>
      <c r="Z22" s="3">
        <f>IF($C22="","",IF(Y22&gt;=15,"да","нет"))</f>
        <v/>
      </c>
      <c r="AA22" s="3">
        <f>IF($C22="","",ROUND(Y22/3,1))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>
        <f>IF($C23="","",IF(D23="",0,IF(LOWER(TRIM(D23))=IF($C23="Б",Ключ!$C$2,Ключ!$B$2),1,0))+IF(E23="",0,IF(LOWER(TRIM(E23))=IF($C23="Б",Ключ!$C$3,Ключ!$B$3),1,0))+IF(F23="",0,IF(LOWER(TRIM(F23))=IF($C23="Б",Ключ!$C$4,Ключ!$B$4),1,0))+IF(G23="",0,IF(LOWER(TRIM(G23))=IF($C23="Б",Ключ!$C$5,Ключ!$B$5),1,0))+IF(H23="",0,IF(LOWER(TRIM(H23))=IF($C23="Б",Ключ!$C$6,Ключ!$B$6),1,0))+IF(I23="",0,IF(LOWER(TRIM(I23))=IF($C23="Б",Ключ!$C$7,Ключ!$B$7),1,0))+IF(J23="",0,IF(LOWER(TRIM(J23))=IF($C23="Б",Ключ!$C$8,Ключ!$B$8),1,0))+IF(K23="",0,IF(LOWER(TRIM(K23))=IF($C23="Б",Ключ!$C$9,Ключ!$B$9),1,0))+IF(L23="",0,IF(LOWER(TRIM(L23))=IF($C23="Б",Ключ!$C$10,Ключ!$B$10),1,0))+IF(M23="",0,IF(LOWER(TRIM(M23))=IF($C23="Б",Ключ!$C$11,Ключ!$B$11),1,0))+IF(N23="",0,IF(LOWER(TRIM(N23))=IF($C23="Б",Ключ!$C$12,Ключ!$B$12),1,0))+IF(O23="",0,IF(LOWER(TRIM(O23))=IF($C23="Б",Ключ!$C$13,Ключ!$B$13),1,0))+IF(P23="",0,IF(LOWER(TRIM(P23))=IF($C23="Б",Ключ!$C$14,Ключ!$B$14),1,0))+IF(Q23="",0,IF(LOWER(TRIM(Q23))=IF($C23="Б",Ключ!$C$15,Ключ!$B$15),1,0)))</f>
        <v/>
      </c>
      <c r="S23" s="3" t="n"/>
      <c r="T23" s="3" t="n"/>
      <c r="U23" s="3" t="n"/>
      <c r="V23" s="3" t="n"/>
      <c r="W23" s="3" t="n"/>
      <c r="X23" s="3" t="n"/>
      <c r="Y23" s="3">
        <f>IF($C23="","",R23+SUM(S23:X23))</f>
        <v/>
      </c>
      <c r="Z23" s="3">
        <f>IF($C23="","",IF(Y23&gt;=15,"да","нет"))</f>
        <v/>
      </c>
      <c r="AA23" s="3">
        <f>IF($C23="","",ROUND(Y23/3,1))</f>
        <v/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>
        <f>IF($C24="","",IF(D24="",0,IF(LOWER(TRIM(D24))=IF($C24="Б",Ключ!$C$2,Ключ!$B$2),1,0))+IF(E24="",0,IF(LOWER(TRIM(E24))=IF($C24="Б",Ключ!$C$3,Ключ!$B$3),1,0))+IF(F24="",0,IF(LOWER(TRIM(F24))=IF($C24="Б",Ключ!$C$4,Ключ!$B$4),1,0))+IF(G24="",0,IF(LOWER(TRIM(G24))=IF($C24="Б",Ключ!$C$5,Ключ!$B$5),1,0))+IF(H24="",0,IF(LOWER(TRIM(H24))=IF($C24="Б",Ключ!$C$6,Ключ!$B$6),1,0))+IF(I24="",0,IF(LOWER(TRIM(I24))=IF($C24="Б",Ключ!$C$7,Ключ!$B$7),1,0))+IF(J24="",0,IF(LOWER(TRIM(J24))=IF($C24="Б",Ключ!$C$8,Ключ!$B$8),1,0))+IF(K24="",0,IF(LOWER(TRIM(K24))=IF($C24="Б",Ключ!$C$9,Ключ!$B$9),1,0))+IF(L24="",0,IF(LOWER(TRIM(L24))=IF($C24="Б",Ключ!$C$10,Ключ!$B$10),1,0))+IF(M24="",0,IF(LOWER(TRIM(M24))=IF($C24="Б",Ключ!$C$11,Ключ!$B$11),1,0))+IF(N24="",0,IF(LOWER(TRIM(N24))=IF($C24="Б",Ключ!$C$12,Ключ!$B$12),1,0))+IF(O24="",0,IF(LOWER(TRIM(O24))=IF($C24="Б",Ключ!$C$13,Ключ!$B$13),1,0))+IF(P24="",0,IF(LOWER(TRIM(P24))=IF($C24="Б",Ключ!$C$14,Ключ!$B$14),1,0))+IF(Q24="",0,IF(LOWER(TRIM(Q24))=IF($C24="Б",Ключ!$C$15,Ключ!$B$15),1,0)))</f>
        <v/>
      </c>
      <c r="S24" s="3" t="n"/>
      <c r="T24" s="3" t="n"/>
      <c r="U24" s="3" t="n"/>
      <c r="V24" s="3" t="n"/>
      <c r="W24" s="3" t="n"/>
      <c r="X24" s="3" t="n"/>
      <c r="Y24" s="3">
        <f>IF($C24="","",R24+SUM(S24:X24))</f>
        <v/>
      </c>
      <c r="Z24" s="3">
        <f>IF($C24="","",IF(Y24&gt;=15,"да","нет"))</f>
        <v/>
      </c>
      <c r="AA24" s="3">
        <f>IF($C24="","",ROUND(Y24/3,1))</f>
        <v/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>
        <f>IF($C25="","",IF(D25="",0,IF(LOWER(TRIM(D25))=IF($C25="Б",Ключ!$C$2,Ключ!$B$2),1,0))+IF(E25="",0,IF(LOWER(TRIM(E25))=IF($C25="Б",Ключ!$C$3,Ключ!$B$3),1,0))+IF(F25="",0,IF(LOWER(TRIM(F25))=IF($C25="Б",Ключ!$C$4,Ключ!$B$4),1,0))+IF(G25="",0,IF(LOWER(TRIM(G25))=IF($C25="Б",Ключ!$C$5,Ключ!$B$5),1,0))+IF(H25="",0,IF(LOWER(TRIM(H25))=IF($C25="Б",Ключ!$C$6,Ключ!$B$6),1,0))+IF(I25="",0,IF(LOWER(TRIM(I25))=IF($C25="Б",Ключ!$C$7,Ключ!$B$7),1,0))+IF(J25="",0,IF(LOWER(TRIM(J25))=IF($C25="Б",Ключ!$C$8,Ключ!$B$8),1,0))+IF(K25="",0,IF(LOWER(TRIM(K25))=IF($C25="Б",Ключ!$C$9,Ключ!$B$9),1,0))+IF(L25="",0,IF(LOWER(TRIM(L25))=IF($C25="Б",Ключ!$C$10,Ключ!$B$10),1,0))+IF(M25="",0,IF(LOWER(TRIM(M25))=IF($C25="Б",Ключ!$C$11,Ключ!$B$11),1,0))+IF(N25="",0,IF(LOWER(TRIM(N25))=IF($C25="Б",Ключ!$C$12,Ключ!$B$12),1,0))+IF(O25="",0,IF(LOWER(TRIM(O25))=IF($C25="Б",Ключ!$C$13,Ключ!$B$13),1,0))+IF(P25="",0,IF(LOWER(TRIM(P25))=IF($C25="Б",Ключ!$C$14,Ключ!$B$14),1,0))+IF(Q25="",0,IF(LOWER(TRIM(Q25))=IF($C25="Б",Ключ!$C$15,Ключ!$B$15),1,0)))</f>
        <v/>
      </c>
      <c r="S25" s="3" t="n"/>
      <c r="T25" s="3" t="n"/>
      <c r="U25" s="3" t="n"/>
      <c r="V25" s="3" t="n"/>
      <c r="W25" s="3" t="n"/>
      <c r="X25" s="3" t="n"/>
      <c r="Y25" s="3">
        <f>IF($C25="","",R25+SUM(S25:X25))</f>
        <v/>
      </c>
      <c r="Z25" s="3">
        <f>IF($C25="","",IF(Y25&gt;=15,"да","нет"))</f>
        <v/>
      </c>
      <c r="AA25" s="3">
        <f>IF($C25="","",ROUND(Y25/3,1))</f>
        <v/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>
        <f>IF($C26="","",IF(D26="",0,IF(LOWER(TRIM(D26))=IF($C26="Б",Ключ!$C$2,Ключ!$B$2),1,0))+IF(E26="",0,IF(LOWER(TRIM(E26))=IF($C26="Б",Ключ!$C$3,Ключ!$B$3),1,0))+IF(F26="",0,IF(LOWER(TRIM(F26))=IF($C26="Б",Ключ!$C$4,Ключ!$B$4),1,0))+IF(G26="",0,IF(LOWER(TRIM(G26))=IF($C26="Б",Ключ!$C$5,Ключ!$B$5),1,0))+IF(H26="",0,IF(LOWER(TRIM(H26))=IF($C26="Б",Ключ!$C$6,Ключ!$B$6),1,0))+IF(I26="",0,IF(LOWER(TRIM(I26))=IF($C26="Б",Ключ!$C$7,Ключ!$B$7),1,0))+IF(J26="",0,IF(LOWER(TRIM(J26))=IF($C26="Б",Ключ!$C$8,Ключ!$B$8),1,0))+IF(K26="",0,IF(LOWER(TRIM(K26))=IF($C26="Б",Ключ!$C$9,Ключ!$B$9),1,0))+IF(L26="",0,IF(LOWER(TRIM(L26))=IF($C26="Б",Ключ!$C$10,Ключ!$B$10),1,0))+IF(M26="",0,IF(LOWER(TRIM(M26))=IF($C26="Б",Ключ!$C$11,Ключ!$B$11),1,0))+IF(N26="",0,IF(LOWER(TRIM(N26))=IF($C26="Б",Ключ!$C$12,Ключ!$B$12),1,0))+IF(O26="",0,IF(LOWER(TRIM(O26))=IF($C26="Б",Ключ!$C$13,Ключ!$B$13),1,0))+IF(P26="",0,IF(LOWER(TRIM(P26))=IF($C26="Б",Ключ!$C$14,Ключ!$B$14),1,0))+IF(Q26="",0,IF(LOWER(TRIM(Q26))=IF($C26="Б",Ключ!$C$15,Ключ!$B$15),1,0)))</f>
        <v/>
      </c>
      <c r="S26" s="3" t="n"/>
      <c r="T26" s="3" t="n"/>
      <c r="U26" s="3" t="n"/>
      <c r="V26" s="3" t="n"/>
      <c r="W26" s="3" t="n"/>
      <c r="X26" s="3" t="n"/>
      <c r="Y26" s="3">
        <f>IF($C26="","",R26+SUM(S26:X26))</f>
        <v/>
      </c>
      <c r="Z26" s="3">
        <f>IF($C26="","",IF(Y26&gt;=15,"да","нет"))</f>
        <v/>
      </c>
      <c r="AA26" s="3">
        <f>IF($C26="","",ROUND(Y26/3,1))</f>
        <v/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>
        <f>IF($C27="","",IF(D27="",0,IF(LOWER(TRIM(D27))=IF($C27="Б",Ключ!$C$2,Ключ!$B$2),1,0))+IF(E27="",0,IF(LOWER(TRIM(E27))=IF($C27="Б",Ключ!$C$3,Ключ!$B$3),1,0))+IF(F27="",0,IF(LOWER(TRIM(F27))=IF($C27="Б",Ключ!$C$4,Ключ!$B$4),1,0))+IF(G27="",0,IF(LOWER(TRIM(G27))=IF($C27="Б",Ключ!$C$5,Ключ!$B$5),1,0))+IF(H27="",0,IF(LOWER(TRIM(H27))=IF($C27="Б",Ключ!$C$6,Ключ!$B$6),1,0))+IF(I27="",0,IF(LOWER(TRIM(I27))=IF($C27="Б",Ключ!$C$7,Ключ!$B$7),1,0))+IF(J27="",0,IF(LOWER(TRIM(J27))=IF($C27="Б",Ключ!$C$8,Ключ!$B$8),1,0))+IF(K27="",0,IF(LOWER(TRIM(K27))=IF($C27="Б",Ключ!$C$9,Ключ!$B$9),1,0))+IF(L27="",0,IF(LOWER(TRIM(L27))=IF($C27="Б",Ключ!$C$10,Ключ!$B$10),1,0))+IF(M27="",0,IF(LOWER(TRIM(M27))=IF($C27="Б",Ключ!$C$11,Ключ!$B$11),1,0))+IF(N27="",0,IF(LOWER(TRIM(N27))=IF($C27="Б",Ключ!$C$12,Ключ!$B$12),1,0))+IF(O27="",0,IF(LOWER(TRIM(O27))=IF($C27="Б",Ключ!$C$13,Ключ!$B$13),1,0))+IF(P27="",0,IF(LOWER(TRIM(P27))=IF($C27="Б",Ключ!$C$14,Ключ!$B$14),1,0))+IF(Q27="",0,IF(LOWER(TRIM(Q27))=IF($C27="Б",Ключ!$C$15,Ключ!$B$15),1,0)))</f>
        <v/>
      </c>
      <c r="S27" s="3" t="n"/>
      <c r="T27" s="3" t="n"/>
      <c r="U27" s="3" t="n"/>
      <c r="V27" s="3" t="n"/>
      <c r="W27" s="3" t="n"/>
      <c r="X27" s="3" t="n"/>
      <c r="Y27" s="3">
        <f>IF($C27="","",R27+SUM(S27:X27))</f>
        <v/>
      </c>
      <c r="Z27" s="3">
        <f>IF($C27="","",IF(Y27&gt;=15,"да","нет"))</f>
        <v/>
      </c>
      <c r="AA27" s="3">
        <f>IF($C27="","",ROUND(Y27/3,1))</f>
        <v/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>
        <f>IF($C28="","",IF(D28="",0,IF(LOWER(TRIM(D28))=IF($C28="Б",Ключ!$C$2,Ключ!$B$2),1,0))+IF(E28="",0,IF(LOWER(TRIM(E28))=IF($C28="Б",Ключ!$C$3,Ключ!$B$3),1,0))+IF(F28="",0,IF(LOWER(TRIM(F28))=IF($C28="Б",Ключ!$C$4,Ключ!$B$4),1,0))+IF(G28="",0,IF(LOWER(TRIM(G28))=IF($C28="Б",Ключ!$C$5,Ключ!$B$5),1,0))+IF(H28="",0,IF(LOWER(TRIM(H28))=IF($C28="Б",Ключ!$C$6,Ключ!$B$6),1,0))+IF(I28="",0,IF(LOWER(TRIM(I28))=IF($C28="Б",Ключ!$C$7,Ключ!$B$7),1,0))+IF(J28="",0,IF(LOWER(TRIM(J28))=IF($C28="Б",Ключ!$C$8,Ключ!$B$8),1,0))+IF(K28="",0,IF(LOWER(TRIM(K28))=IF($C28="Б",Ключ!$C$9,Ключ!$B$9),1,0))+IF(L28="",0,IF(LOWER(TRIM(L28))=IF($C28="Б",Ключ!$C$10,Ключ!$B$10),1,0))+IF(M28="",0,IF(LOWER(TRIM(M28))=IF($C28="Б",Ключ!$C$11,Ключ!$B$11),1,0))+IF(N28="",0,IF(LOWER(TRIM(N28))=IF($C28="Б",Ключ!$C$12,Ключ!$B$12),1,0))+IF(O28="",0,IF(LOWER(TRIM(O28))=IF($C28="Б",Ключ!$C$13,Ключ!$B$13),1,0))+IF(P28="",0,IF(LOWER(TRIM(P28))=IF($C28="Б",Ключ!$C$14,Ключ!$B$14),1,0))+IF(Q28="",0,IF(LOWER(TRIM(Q28))=IF($C28="Б",Ключ!$C$15,Ключ!$B$15),1,0)))</f>
        <v/>
      </c>
      <c r="S28" s="3" t="n"/>
      <c r="T28" s="3" t="n"/>
      <c r="U28" s="3" t="n"/>
      <c r="V28" s="3" t="n"/>
      <c r="W28" s="3" t="n"/>
      <c r="X28" s="3" t="n"/>
      <c r="Y28" s="3">
        <f>IF($C28="","",R28+SUM(S28:X28))</f>
        <v/>
      </c>
      <c r="Z28" s="3">
        <f>IF($C28="","",IF(Y28&gt;=15,"да","нет"))</f>
        <v/>
      </c>
      <c r="AA28" s="3">
        <f>IF($C28="","",ROUND(Y28/3,1))</f>
        <v/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>
        <f>IF($C29="","",IF(D29="",0,IF(LOWER(TRIM(D29))=IF($C29="Б",Ключ!$C$2,Ключ!$B$2),1,0))+IF(E29="",0,IF(LOWER(TRIM(E29))=IF($C29="Б",Ключ!$C$3,Ключ!$B$3),1,0))+IF(F29="",0,IF(LOWER(TRIM(F29))=IF($C29="Б",Ключ!$C$4,Ключ!$B$4),1,0))+IF(G29="",0,IF(LOWER(TRIM(G29))=IF($C29="Б",Ключ!$C$5,Ключ!$B$5),1,0))+IF(H29="",0,IF(LOWER(TRIM(H29))=IF($C29="Б",Ключ!$C$6,Ключ!$B$6),1,0))+IF(I29="",0,IF(LOWER(TRIM(I29))=IF($C29="Б",Ключ!$C$7,Ключ!$B$7),1,0))+IF(J29="",0,IF(LOWER(TRIM(J29))=IF($C29="Б",Ключ!$C$8,Ключ!$B$8),1,0))+IF(K29="",0,IF(LOWER(TRIM(K29))=IF($C29="Б",Ключ!$C$9,Ключ!$B$9),1,0))+IF(L29="",0,IF(LOWER(TRIM(L29))=IF($C29="Б",Ключ!$C$10,Ключ!$B$10),1,0))+IF(M29="",0,IF(LOWER(TRIM(M29))=IF($C29="Б",Ключ!$C$11,Ключ!$B$11),1,0))+IF(N29="",0,IF(LOWER(TRIM(N29))=IF($C29="Б",Ключ!$C$12,Ключ!$B$12),1,0))+IF(O29="",0,IF(LOWER(TRIM(O29))=IF($C29="Б",Ключ!$C$13,Ключ!$B$13),1,0))+IF(P29="",0,IF(LOWER(TRIM(P29))=IF($C29="Б",Ключ!$C$14,Ключ!$B$14),1,0))+IF(Q29="",0,IF(LOWER(TRIM(Q29))=IF($C29="Б",Ключ!$C$15,Ключ!$B$15),1,0)))</f>
        <v/>
      </c>
      <c r="S29" s="3" t="n"/>
      <c r="T29" s="3" t="n"/>
      <c r="U29" s="3" t="n"/>
      <c r="V29" s="3" t="n"/>
      <c r="W29" s="3" t="n"/>
      <c r="X29" s="3" t="n"/>
      <c r="Y29" s="3">
        <f>IF($C29="","",R29+SUM(S29:X29))</f>
        <v/>
      </c>
      <c r="Z29" s="3">
        <f>IF($C29="","",IF(Y29&gt;=15,"да","нет"))</f>
        <v/>
      </c>
      <c r="AA29" s="3">
        <f>IF($C29="","",ROUND(Y29/3,1))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>
        <f>IF($C30="","",IF(D30="",0,IF(LOWER(TRIM(D30))=IF($C30="Б",Ключ!$C$2,Ключ!$B$2),1,0))+IF(E30="",0,IF(LOWER(TRIM(E30))=IF($C30="Б",Ключ!$C$3,Ключ!$B$3),1,0))+IF(F30="",0,IF(LOWER(TRIM(F30))=IF($C30="Б",Ключ!$C$4,Ключ!$B$4),1,0))+IF(G30="",0,IF(LOWER(TRIM(G30))=IF($C30="Б",Ключ!$C$5,Ключ!$B$5),1,0))+IF(H30="",0,IF(LOWER(TRIM(H30))=IF($C30="Б",Ключ!$C$6,Ключ!$B$6),1,0))+IF(I30="",0,IF(LOWER(TRIM(I30))=IF($C30="Б",Ключ!$C$7,Ключ!$B$7),1,0))+IF(J30="",0,IF(LOWER(TRIM(J30))=IF($C30="Б",Ключ!$C$8,Ключ!$B$8),1,0))+IF(K30="",0,IF(LOWER(TRIM(K30))=IF($C30="Б",Ключ!$C$9,Ключ!$B$9),1,0))+IF(L30="",0,IF(LOWER(TRIM(L30))=IF($C30="Б",Ключ!$C$10,Ключ!$B$10),1,0))+IF(M30="",0,IF(LOWER(TRIM(M30))=IF($C30="Б",Ключ!$C$11,Ключ!$B$11),1,0))+IF(N30="",0,IF(LOWER(TRIM(N30))=IF($C30="Б",Ключ!$C$12,Ключ!$B$12),1,0))+IF(O30="",0,IF(LOWER(TRIM(O30))=IF($C30="Б",Ключ!$C$13,Ключ!$B$13),1,0))+IF(P30="",0,IF(LOWER(TRIM(P30))=IF($C30="Б",Ключ!$C$14,Ключ!$B$14),1,0))+IF(Q30="",0,IF(LOWER(TRIM(Q30))=IF($C30="Б",Ключ!$C$15,Ключ!$B$15),1,0)))</f>
        <v/>
      </c>
      <c r="S30" s="3" t="n"/>
      <c r="T30" s="3" t="n"/>
      <c r="U30" s="3" t="n"/>
      <c r="V30" s="3" t="n"/>
      <c r="W30" s="3" t="n"/>
      <c r="X30" s="3" t="n"/>
      <c r="Y30" s="3">
        <f>IF($C30="","",R30+SUM(S30:X30))</f>
        <v/>
      </c>
      <c r="Z30" s="3">
        <f>IF($C30="","",IF(Y30&gt;=15,"да","нет"))</f>
        <v/>
      </c>
      <c r="AA30" s="3">
        <f>IF($C30="","",ROUND(Y30/3,1))</f>
        <v/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>
        <f>IF($C31="","",IF(D31="",0,IF(LOWER(TRIM(D31))=IF($C31="Б",Ключ!$C$2,Ключ!$B$2),1,0))+IF(E31="",0,IF(LOWER(TRIM(E31))=IF($C31="Б",Ключ!$C$3,Ключ!$B$3),1,0))+IF(F31="",0,IF(LOWER(TRIM(F31))=IF($C31="Б",Ключ!$C$4,Ключ!$B$4),1,0))+IF(G31="",0,IF(LOWER(TRIM(G31))=IF($C31="Б",Ключ!$C$5,Ключ!$B$5),1,0))+IF(H31="",0,IF(LOWER(TRIM(H31))=IF($C31="Б",Ключ!$C$6,Ключ!$B$6),1,0))+IF(I31="",0,IF(LOWER(TRIM(I31))=IF($C31="Б",Ключ!$C$7,Ключ!$B$7),1,0))+IF(J31="",0,IF(LOWER(TRIM(J31))=IF($C31="Б",Ключ!$C$8,Ключ!$B$8),1,0))+IF(K31="",0,IF(LOWER(TRIM(K31))=IF($C31="Б",Ключ!$C$9,Ключ!$B$9),1,0))+IF(L31="",0,IF(LOWER(TRIM(L31))=IF($C31="Б",Ключ!$C$10,Ключ!$B$10),1,0))+IF(M31="",0,IF(LOWER(TRIM(M31))=IF($C31="Б",Ключ!$C$11,Ключ!$B$11),1,0))+IF(N31="",0,IF(LOWER(TRIM(N31))=IF($C31="Б",Ключ!$C$12,Ключ!$B$12),1,0))+IF(O31="",0,IF(LOWER(TRIM(O31))=IF($C31="Б",Ключ!$C$13,Ключ!$B$13),1,0))+IF(P31="",0,IF(LOWER(TRIM(P31))=IF($C31="Б",Ключ!$C$14,Ключ!$B$14),1,0))+IF(Q31="",0,IF(LOWER(TRIM(Q31))=IF($C31="Б",Ключ!$C$15,Ключ!$B$15),1,0)))</f>
        <v/>
      </c>
      <c r="S31" s="3" t="n"/>
      <c r="T31" s="3" t="n"/>
      <c r="U31" s="3" t="n"/>
      <c r="V31" s="3" t="n"/>
      <c r="W31" s="3" t="n"/>
      <c r="X31" s="3" t="n"/>
      <c r="Y31" s="3">
        <f>IF($C31="","",R31+SUM(S31:X31))</f>
        <v/>
      </c>
      <c r="Z31" s="3">
        <f>IF($C31="","",IF(Y31&gt;=15,"да","нет"))</f>
        <v/>
      </c>
      <c r="AA31" s="3">
        <f>IF($C31="","",ROUND(Y31/3,1))</f>
        <v/>
      </c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>
        <f>IF($C32="","",IF(D32="",0,IF(LOWER(TRIM(D32))=IF($C32="Б",Ключ!$C$2,Ключ!$B$2),1,0))+IF(E32="",0,IF(LOWER(TRIM(E32))=IF($C32="Б",Ключ!$C$3,Ключ!$B$3),1,0))+IF(F32="",0,IF(LOWER(TRIM(F32))=IF($C32="Б",Ключ!$C$4,Ключ!$B$4),1,0))+IF(G32="",0,IF(LOWER(TRIM(G32))=IF($C32="Б",Ключ!$C$5,Ключ!$B$5),1,0))+IF(H32="",0,IF(LOWER(TRIM(H32))=IF($C32="Б",Ключ!$C$6,Ключ!$B$6),1,0))+IF(I32="",0,IF(LOWER(TRIM(I32))=IF($C32="Б",Ключ!$C$7,Ключ!$B$7),1,0))+IF(J32="",0,IF(LOWER(TRIM(J32))=IF($C32="Б",Ключ!$C$8,Ключ!$B$8),1,0))+IF(K32="",0,IF(LOWER(TRIM(K32))=IF($C32="Б",Ключ!$C$9,Ключ!$B$9),1,0))+IF(L32="",0,IF(LOWER(TRIM(L32))=IF($C32="Б",Ключ!$C$10,Ключ!$B$10),1,0))+IF(M32="",0,IF(LOWER(TRIM(M32))=IF($C32="Б",Ключ!$C$11,Ключ!$B$11),1,0))+IF(N32="",0,IF(LOWER(TRIM(N32))=IF($C32="Б",Ключ!$C$12,Ключ!$B$12),1,0))+IF(O32="",0,IF(LOWER(TRIM(O32))=IF($C32="Б",Ключ!$C$13,Ключ!$B$13),1,0))+IF(P32="",0,IF(LOWER(TRIM(P32))=IF($C32="Б",Ключ!$C$14,Ключ!$B$14),1,0))+IF(Q32="",0,IF(LOWER(TRIM(Q32))=IF($C32="Б",Ключ!$C$15,Ключ!$B$15),1,0)))</f>
        <v/>
      </c>
      <c r="S32" s="3" t="n"/>
      <c r="T32" s="3" t="n"/>
      <c r="U32" s="3" t="n"/>
      <c r="V32" s="3" t="n"/>
      <c r="W32" s="3" t="n"/>
      <c r="X32" s="3" t="n"/>
      <c r="Y32" s="3">
        <f>IF($C32="","",R32+SUM(S32:X32))</f>
        <v/>
      </c>
      <c r="Z32" s="3">
        <f>IF($C32="","",IF(Y32&gt;=15,"да","нет"))</f>
        <v/>
      </c>
      <c r="AA32" s="3">
        <f>IF($C32="","",ROUND(Y32/3,1))</f>
        <v/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>
        <f>IF($C33="","",IF(D33="",0,IF(LOWER(TRIM(D33))=IF($C33="Б",Ключ!$C$2,Ключ!$B$2),1,0))+IF(E33="",0,IF(LOWER(TRIM(E33))=IF($C33="Б",Ключ!$C$3,Ключ!$B$3),1,0))+IF(F33="",0,IF(LOWER(TRIM(F33))=IF($C33="Б",Ключ!$C$4,Ключ!$B$4),1,0))+IF(G33="",0,IF(LOWER(TRIM(G33))=IF($C33="Б",Ключ!$C$5,Ключ!$B$5),1,0))+IF(H33="",0,IF(LOWER(TRIM(H33))=IF($C33="Б",Ключ!$C$6,Ключ!$B$6),1,0))+IF(I33="",0,IF(LOWER(TRIM(I33))=IF($C33="Б",Ключ!$C$7,Ключ!$B$7),1,0))+IF(J33="",0,IF(LOWER(TRIM(J33))=IF($C33="Б",Ключ!$C$8,Ключ!$B$8),1,0))+IF(K33="",0,IF(LOWER(TRIM(K33))=IF($C33="Б",Ключ!$C$9,Ключ!$B$9),1,0))+IF(L33="",0,IF(LOWER(TRIM(L33))=IF($C33="Б",Ключ!$C$10,Ключ!$B$10),1,0))+IF(M33="",0,IF(LOWER(TRIM(M33))=IF($C33="Б",Ключ!$C$11,Ключ!$B$11),1,0))+IF(N33="",0,IF(LOWER(TRIM(N33))=IF($C33="Б",Ключ!$C$12,Ключ!$B$12),1,0))+IF(O33="",0,IF(LOWER(TRIM(O33))=IF($C33="Б",Ключ!$C$13,Ключ!$B$13),1,0))+IF(P33="",0,IF(LOWER(TRIM(P33))=IF($C33="Б",Ключ!$C$14,Ключ!$B$14),1,0))+IF(Q33="",0,IF(LOWER(TRIM(Q33))=IF($C33="Б",Ключ!$C$15,Ключ!$B$15),1,0)))</f>
        <v/>
      </c>
      <c r="S33" s="3" t="n"/>
      <c r="T33" s="3" t="n"/>
      <c r="U33" s="3" t="n"/>
      <c r="V33" s="3" t="n"/>
      <c r="W33" s="3" t="n"/>
      <c r="X33" s="3" t="n"/>
      <c r="Y33" s="3">
        <f>IF($C33="","",R33+SUM(S33:X33))</f>
        <v/>
      </c>
      <c r="Z33" s="3">
        <f>IF($C33="","",IF(Y33&gt;=15,"да","нет"))</f>
        <v/>
      </c>
      <c r="AA33" s="3">
        <f>IF($C33="","",ROUND(Y33/3,1))</f>
        <v/>
      </c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>
        <f>IF($C34="","",IF(D34="",0,IF(LOWER(TRIM(D34))=IF($C34="Б",Ключ!$C$2,Ключ!$B$2),1,0))+IF(E34="",0,IF(LOWER(TRIM(E34))=IF($C34="Б",Ключ!$C$3,Ключ!$B$3),1,0))+IF(F34="",0,IF(LOWER(TRIM(F34))=IF($C34="Б",Ключ!$C$4,Ключ!$B$4),1,0))+IF(G34="",0,IF(LOWER(TRIM(G34))=IF($C34="Б",Ключ!$C$5,Ключ!$B$5),1,0))+IF(H34="",0,IF(LOWER(TRIM(H34))=IF($C34="Б",Ключ!$C$6,Ключ!$B$6),1,0))+IF(I34="",0,IF(LOWER(TRIM(I34))=IF($C34="Б",Ключ!$C$7,Ключ!$B$7),1,0))+IF(J34="",0,IF(LOWER(TRIM(J34))=IF($C34="Б",Ключ!$C$8,Ключ!$B$8),1,0))+IF(K34="",0,IF(LOWER(TRIM(K34))=IF($C34="Б",Ключ!$C$9,Ключ!$B$9),1,0))+IF(L34="",0,IF(LOWER(TRIM(L34))=IF($C34="Б",Ключ!$C$10,Ключ!$B$10),1,0))+IF(M34="",0,IF(LOWER(TRIM(M34))=IF($C34="Б",Ключ!$C$11,Ключ!$B$11),1,0))+IF(N34="",0,IF(LOWER(TRIM(N34))=IF($C34="Б",Ключ!$C$12,Ключ!$B$12),1,0))+IF(O34="",0,IF(LOWER(TRIM(O34))=IF($C34="Б",Ключ!$C$13,Ключ!$B$13),1,0))+IF(P34="",0,IF(LOWER(TRIM(P34))=IF($C34="Б",Ключ!$C$14,Ключ!$B$14),1,0))+IF(Q34="",0,IF(LOWER(TRIM(Q34))=IF($C34="Б",Ключ!$C$15,Ключ!$B$15),1,0)))</f>
        <v/>
      </c>
      <c r="S34" s="3" t="n"/>
      <c r="T34" s="3" t="n"/>
      <c r="U34" s="3" t="n"/>
      <c r="V34" s="3" t="n"/>
      <c r="W34" s="3" t="n"/>
      <c r="X34" s="3" t="n"/>
      <c r="Y34" s="3">
        <f>IF($C34="","",R34+SUM(S34:X34))</f>
        <v/>
      </c>
      <c r="Z34" s="3">
        <f>IF($C34="","",IF(Y34&gt;=15,"да","нет"))</f>
        <v/>
      </c>
      <c r="AA34" s="3">
        <f>IF($C34="","",ROUND(Y34/3,1))</f>
        <v/>
      </c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>
        <f>IF($C35="","",IF(D35="",0,IF(LOWER(TRIM(D35))=IF($C35="Б",Ключ!$C$2,Ключ!$B$2),1,0))+IF(E35="",0,IF(LOWER(TRIM(E35))=IF($C35="Б",Ключ!$C$3,Ключ!$B$3),1,0))+IF(F35="",0,IF(LOWER(TRIM(F35))=IF($C35="Б",Ключ!$C$4,Ключ!$B$4),1,0))+IF(G35="",0,IF(LOWER(TRIM(G35))=IF($C35="Б",Ключ!$C$5,Ключ!$B$5),1,0))+IF(H35="",0,IF(LOWER(TRIM(H35))=IF($C35="Б",Ключ!$C$6,Ключ!$B$6),1,0))+IF(I35="",0,IF(LOWER(TRIM(I35))=IF($C35="Б",Ключ!$C$7,Ключ!$B$7),1,0))+IF(J35="",0,IF(LOWER(TRIM(J35))=IF($C35="Б",Ключ!$C$8,Ключ!$B$8),1,0))+IF(K35="",0,IF(LOWER(TRIM(K35))=IF($C35="Б",Ключ!$C$9,Ключ!$B$9),1,0))+IF(L35="",0,IF(LOWER(TRIM(L35))=IF($C35="Б",Ключ!$C$10,Ключ!$B$10),1,0))+IF(M35="",0,IF(LOWER(TRIM(M35))=IF($C35="Б",Ключ!$C$11,Ключ!$B$11),1,0))+IF(N35="",0,IF(LOWER(TRIM(N35))=IF($C35="Б",Ключ!$C$12,Ключ!$B$12),1,0))+IF(O35="",0,IF(LOWER(TRIM(O35))=IF($C35="Б",Ключ!$C$13,Ключ!$B$13),1,0))+IF(P35="",0,IF(LOWER(TRIM(P35))=IF($C35="Б",Ключ!$C$14,Ключ!$B$14),1,0))+IF(Q35="",0,IF(LOWER(TRIM(Q35))=IF($C35="Б",Ключ!$C$15,Ключ!$B$15),1,0)))</f>
        <v/>
      </c>
      <c r="S35" s="3" t="n"/>
      <c r="T35" s="3" t="n"/>
      <c r="U35" s="3" t="n"/>
      <c r="V35" s="3" t="n"/>
      <c r="W35" s="3" t="n"/>
      <c r="X35" s="3" t="n"/>
      <c r="Y35" s="3">
        <f>IF($C35="","",R35+SUM(S35:X35))</f>
        <v/>
      </c>
      <c r="Z35" s="3">
        <f>IF($C35="","",IF(Y35&gt;=15,"да","нет"))</f>
        <v/>
      </c>
      <c r="AA35" s="3">
        <f>IF($C35="","",ROUND(Y35/3,1))</f>
        <v/>
      </c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>
        <f>IF($C36="","",IF(D36="",0,IF(LOWER(TRIM(D36))=IF($C36="Б",Ключ!$C$2,Ключ!$B$2),1,0))+IF(E36="",0,IF(LOWER(TRIM(E36))=IF($C36="Б",Ключ!$C$3,Ключ!$B$3),1,0))+IF(F36="",0,IF(LOWER(TRIM(F36))=IF($C36="Б",Ключ!$C$4,Ключ!$B$4),1,0))+IF(G36="",0,IF(LOWER(TRIM(G36))=IF($C36="Б",Ключ!$C$5,Ключ!$B$5),1,0))+IF(H36="",0,IF(LOWER(TRIM(H36))=IF($C36="Б",Ключ!$C$6,Ключ!$B$6),1,0))+IF(I36="",0,IF(LOWER(TRIM(I36))=IF($C36="Б",Ключ!$C$7,Ключ!$B$7),1,0))+IF(J36="",0,IF(LOWER(TRIM(J36))=IF($C36="Б",Ключ!$C$8,Ключ!$B$8),1,0))+IF(K36="",0,IF(LOWER(TRIM(K36))=IF($C36="Б",Ключ!$C$9,Ключ!$B$9),1,0))+IF(L36="",0,IF(LOWER(TRIM(L36))=IF($C36="Б",Ключ!$C$10,Ключ!$B$10),1,0))+IF(M36="",0,IF(LOWER(TRIM(M36))=IF($C36="Б",Ключ!$C$11,Ключ!$B$11),1,0))+IF(N36="",0,IF(LOWER(TRIM(N36))=IF($C36="Б",Ключ!$C$12,Ключ!$B$12),1,0))+IF(O36="",0,IF(LOWER(TRIM(O36))=IF($C36="Б",Ключ!$C$13,Ключ!$B$13),1,0))+IF(P36="",0,IF(LOWER(TRIM(P36))=IF($C36="Б",Ключ!$C$14,Ключ!$B$14),1,0))+IF(Q36="",0,IF(LOWER(TRIM(Q36))=IF($C36="Б",Ключ!$C$15,Ключ!$B$15),1,0)))</f>
        <v/>
      </c>
      <c r="S36" s="3" t="n"/>
      <c r="T36" s="3" t="n"/>
      <c r="U36" s="3" t="n"/>
      <c r="V36" s="3" t="n"/>
      <c r="W36" s="3" t="n"/>
      <c r="X36" s="3" t="n"/>
      <c r="Y36" s="3">
        <f>IF($C36="","",R36+SUM(S36:X36))</f>
        <v/>
      </c>
      <c r="Z36" s="3">
        <f>IF($C36="","",IF(Y36&gt;=15,"да","нет"))</f>
        <v/>
      </c>
      <c r="AA36" s="3">
        <f>IF($C36="","",ROUND(Y36/3,1))</f>
        <v/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>
        <f>IF($C37="","",IF(D37="",0,IF(LOWER(TRIM(D37))=IF($C37="Б",Ключ!$C$2,Ключ!$B$2),1,0))+IF(E37="",0,IF(LOWER(TRIM(E37))=IF($C37="Б",Ключ!$C$3,Ключ!$B$3),1,0))+IF(F37="",0,IF(LOWER(TRIM(F37))=IF($C37="Б",Ключ!$C$4,Ключ!$B$4),1,0))+IF(G37="",0,IF(LOWER(TRIM(G37))=IF($C37="Б",Ключ!$C$5,Ключ!$B$5),1,0))+IF(H37="",0,IF(LOWER(TRIM(H37))=IF($C37="Б",Ключ!$C$6,Ключ!$B$6),1,0))+IF(I37="",0,IF(LOWER(TRIM(I37))=IF($C37="Б",Ключ!$C$7,Ключ!$B$7),1,0))+IF(J37="",0,IF(LOWER(TRIM(J37))=IF($C37="Б",Ключ!$C$8,Ключ!$B$8),1,0))+IF(K37="",0,IF(LOWER(TRIM(K37))=IF($C37="Б",Ключ!$C$9,Ключ!$B$9),1,0))+IF(L37="",0,IF(LOWER(TRIM(L37))=IF($C37="Б",Ключ!$C$10,Ключ!$B$10),1,0))+IF(M37="",0,IF(LOWER(TRIM(M37))=IF($C37="Б",Ключ!$C$11,Ключ!$B$11),1,0))+IF(N37="",0,IF(LOWER(TRIM(N37))=IF($C37="Б",Ключ!$C$12,Ключ!$B$12),1,0))+IF(O37="",0,IF(LOWER(TRIM(O37))=IF($C37="Б",Ключ!$C$13,Ключ!$B$13),1,0))+IF(P37="",0,IF(LOWER(TRIM(P37))=IF($C37="Б",Ключ!$C$14,Ключ!$B$14),1,0))+IF(Q37="",0,IF(LOWER(TRIM(Q37))=IF($C37="Б",Ключ!$C$15,Ключ!$B$15),1,0)))</f>
        <v/>
      </c>
      <c r="S37" s="3" t="n"/>
      <c r="T37" s="3" t="n"/>
      <c r="U37" s="3" t="n"/>
      <c r="V37" s="3" t="n"/>
      <c r="W37" s="3" t="n"/>
      <c r="X37" s="3" t="n"/>
      <c r="Y37" s="3">
        <f>IF($C37="","",R37+SUM(S37:X37))</f>
        <v/>
      </c>
      <c r="Z37" s="3">
        <f>IF($C37="","",IF(Y37&gt;=15,"да","нет"))</f>
        <v/>
      </c>
      <c r="AA37" s="3">
        <f>IF($C37="","",ROUND(Y37/3,1))</f>
        <v/>
      </c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>
        <f>IF($C38="","",IF(D38="",0,IF(LOWER(TRIM(D38))=IF($C38="Б",Ключ!$C$2,Ключ!$B$2),1,0))+IF(E38="",0,IF(LOWER(TRIM(E38))=IF($C38="Б",Ключ!$C$3,Ключ!$B$3),1,0))+IF(F38="",0,IF(LOWER(TRIM(F38))=IF($C38="Б",Ключ!$C$4,Ключ!$B$4),1,0))+IF(G38="",0,IF(LOWER(TRIM(G38))=IF($C38="Б",Ключ!$C$5,Ключ!$B$5),1,0))+IF(H38="",0,IF(LOWER(TRIM(H38))=IF($C38="Б",Ключ!$C$6,Ключ!$B$6),1,0))+IF(I38="",0,IF(LOWER(TRIM(I38))=IF($C38="Б",Ключ!$C$7,Ключ!$B$7),1,0))+IF(J38="",0,IF(LOWER(TRIM(J38))=IF($C38="Б",Ключ!$C$8,Ключ!$B$8),1,0))+IF(K38="",0,IF(LOWER(TRIM(K38))=IF($C38="Б",Ключ!$C$9,Ключ!$B$9),1,0))+IF(L38="",0,IF(LOWER(TRIM(L38))=IF($C38="Б",Ключ!$C$10,Ключ!$B$10),1,0))+IF(M38="",0,IF(LOWER(TRIM(M38))=IF($C38="Б",Ключ!$C$11,Ключ!$B$11),1,0))+IF(N38="",0,IF(LOWER(TRIM(N38))=IF($C38="Б",Ключ!$C$12,Ключ!$B$12),1,0))+IF(O38="",0,IF(LOWER(TRIM(O38))=IF($C38="Б",Ключ!$C$13,Ключ!$B$13),1,0))+IF(P38="",0,IF(LOWER(TRIM(P38))=IF($C38="Б",Ключ!$C$14,Ключ!$B$14),1,0))+IF(Q38="",0,IF(LOWER(TRIM(Q38))=IF($C38="Б",Ключ!$C$15,Ключ!$B$15),1,0)))</f>
        <v/>
      </c>
      <c r="S38" s="3" t="n"/>
      <c r="T38" s="3" t="n"/>
      <c r="U38" s="3" t="n"/>
      <c r="V38" s="3" t="n"/>
      <c r="W38" s="3" t="n"/>
      <c r="X38" s="3" t="n"/>
      <c r="Y38" s="3">
        <f>IF($C38="","",R38+SUM(S38:X38))</f>
        <v/>
      </c>
      <c r="Z38" s="3">
        <f>IF($C38="","",IF(Y38&gt;=15,"да","нет"))</f>
        <v/>
      </c>
      <c r="AA38" s="3">
        <f>IF($C38="","",ROUND(Y38/3,1))</f>
        <v/>
      </c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>
        <f>IF($C39="","",IF(D39="",0,IF(LOWER(TRIM(D39))=IF($C39="Б",Ключ!$C$2,Ключ!$B$2),1,0))+IF(E39="",0,IF(LOWER(TRIM(E39))=IF($C39="Б",Ключ!$C$3,Ключ!$B$3),1,0))+IF(F39="",0,IF(LOWER(TRIM(F39))=IF($C39="Б",Ключ!$C$4,Ключ!$B$4),1,0))+IF(G39="",0,IF(LOWER(TRIM(G39))=IF($C39="Б",Ключ!$C$5,Ключ!$B$5),1,0))+IF(H39="",0,IF(LOWER(TRIM(H39))=IF($C39="Б",Ключ!$C$6,Ключ!$B$6),1,0))+IF(I39="",0,IF(LOWER(TRIM(I39))=IF($C39="Б",Ключ!$C$7,Ключ!$B$7),1,0))+IF(J39="",0,IF(LOWER(TRIM(J39))=IF($C39="Б",Ключ!$C$8,Ключ!$B$8),1,0))+IF(K39="",0,IF(LOWER(TRIM(K39))=IF($C39="Б",Ключ!$C$9,Ключ!$B$9),1,0))+IF(L39="",0,IF(LOWER(TRIM(L39))=IF($C39="Б",Ключ!$C$10,Ключ!$B$10),1,0))+IF(M39="",0,IF(LOWER(TRIM(M39))=IF($C39="Б",Ключ!$C$11,Ключ!$B$11),1,0))+IF(N39="",0,IF(LOWER(TRIM(N39))=IF($C39="Б",Ключ!$C$12,Ключ!$B$12),1,0))+IF(O39="",0,IF(LOWER(TRIM(O39))=IF($C39="Б",Ключ!$C$13,Ключ!$B$13),1,0))+IF(P39="",0,IF(LOWER(TRIM(P39))=IF($C39="Б",Ключ!$C$14,Ключ!$B$14),1,0))+IF(Q39="",0,IF(LOWER(TRIM(Q39))=IF($C39="Б",Ключ!$C$15,Ключ!$B$15),1,0)))</f>
        <v/>
      </c>
      <c r="S39" s="3" t="n"/>
      <c r="T39" s="3" t="n"/>
      <c r="U39" s="3" t="n"/>
      <c r="V39" s="3" t="n"/>
      <c r="W39" s="3" t="n"/>
      <c r="X39" s="3" t="n"/>
      <c r="Y39" s="3">
        <f>IF($C39="","",R39+SUM(S39:X39))</f>
        <v/>
      </c>
      <c r="Z39" s="3">
        <f>IF($C39="","",IF(Y39&gt;=15,"да","нет"))</f>
        <v/>
      </c>
      <c r="AA39" s="3">
        <f>IF($C39="","",ROUND(Y39/3,1))</f>
        <v/>
      </c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>
        <f>IF($C40="","",IF(D40="",0,IF(LOWER(TRIM(D40))=IF($C40="Б",Ключ!$C$2,Ключ!$B$2),1,0))+IF(E40="",0,IF(LOWER(TRIM(E40))=IF($C40="Б",Ключ!$C$3,Ключ!$B$3),1,0))+IF(F40="",0,IF(LOWER(TRIM(F40))=IF($C40="Б",Ключ!$C$4,Ключ!$B$4),1,0))+IF(G40="",0,IF(LOWER(TRIM(G40))=IF($C40="Б",Ключ!$C$5,Ключ!$B$5),1,0))+IF(H40="",0,IF(LOWER(TRIM(H40))=IF($C40="Б",Ключ!$C$6,Ключ!$B$6),1,0))+IF(I40="",0,IF(LOWER(TRIM(I40))=IF($C40="Б",Ключ!$C$7,Ключ!$B$7),1,0))+IF(J40="",0,IF(LOWER(TRIM(J40))=IF($C40="Б",Ключ!$C$8,Ключ!$B$8),1,0))+IF(K40="",0,IF(LOWER(TRIM(K40))=IF($C40="Б",Ключ!$C$9,Ключ!$B$9),1,0))+IF(L40="",0,IF(LOWER(TRIM(L40))=IF($C40="Б",Ключ!$C$10,Ключ!$B$10),1,0))+IF(M40="",0,IF(LOWER(TRIM(M40))=IF($C40="Б",Ключ!$C$11,Ключ!$B$11),1,0))+IF(N40="",0,IF(LOWER(TRIM(N40))=IF($C40="Б",Ключ!$C$12,Ключ!$B$12),1,0))+IF(O40="",0,IF(LOWER(TRIM(O40))=IF($C40="Б",Ключ!$C$13,Ключ!$B$13),1,0))+IF(P40="",0,IF(LOWER(TRIM(P40))=IF($C40="Б",Ключ!$C$14,Ключ!$B$14),1,0))+IF(Q40="",0,IF(LOWER(TRIM(Q40))=IF($C40="Б",Ключ!$C$15,Ключ!$B$15),1,0)))</f>
        <v/>
      </c>
      <c r="S40" s="3" t="n"/>
      <c r="T40" s="3" t="n"/>
      <c r="U40" s="3" t="n"/>
      <c r="V40" s="3" t="n"/>
      <c r="W40" s="3" t="n"/>
      <c r="X40" s="3" t="n"/>
      <c r="Y40" s="3">
        <f>IF($C40="","",R40+SUM(S40:X40))</f>
        <v/>
      </c>
      <c r="Z40" s="3">
        <f>IF($C40="","",IF(Y40&gt;=15,"да","нет"))</f>
        <v/>
      </c>
      <c r="AA40" s="3">
        <f>IF($C40="","",ROUND(Y40/3,1))</f>
        <v/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>
        <f>IF($C41="","",IF(D41="",0,IF(LOWER(TRIM(D41))=IF($C41="Б",Ключ!$C$2,Ключ!$B$2),1,0))+IF(E41="",0,IF(LOWER(TRIM(E41))=IF($C41="Б",Ключ!$C$3,Ключ!$B$3),1,0))+IF(F41="",0,IF(LOWER(TRIM(F41))=IF($C41="Б",Ключ!$C$4,Ключ!$B$4),1,0))+IF(G41="",0,IF(LOWER(TRIM(G41))=IF($C41="Б",Ключ!$C$5,Ключ!$B$5),1,0))+IF(H41="",0,IF(LOWER(TRIM(H41))=IF($C41="Б",Ключ!$C$6,Ключ!$B$6),1,0))+IF(I41="",0,IF(LOWER(TRIM(I41))=IF($C41="Б",Ключ!$C$7,Ключ!$B$7),1,0))+IF(J41="",0,IF(LOWER(TRIM(J41))=IF($C41="Б",Ключ!$C$8,Ключ!$B$8),1,0))+IF(K41="",0,IF(LOWER(TRIM(K41))=IF($C41="Б",Ключ!$C$9,Ключ!$B$9),1,0))+IF(L41="",0,IF(LOWER(TRIM(L41))=IF($C41="Б",Ключ!$C$10,Ключ!$B$10),1,0))+IF(M41="",0,IF(LOWER(TRIM(M41))=IF($C41="Б",Ключ!$C$11,Ключ!$B$11),1,0))+IF(N41="",0,IF(LOWER(TRIM(N41))=IF($C41="Б",Ключ!$C$12,Ключ!$B$12),1,0))+IF(O41="",0,IF(LOWER(TRIM(O41))=IF($C41="Б",Ключ!$C$13,Ключ!$B$13),1,0))+IF(P41="",0,IF(LOWER(TRIM(P41))=IF($C41="Б",Ключ!$C$14,Ключ!$B$14),1,0))+IF(Q41="",0,IF(LOWER(TRIM(Q41))=IF($C41="Б",Ключ!$C$15,Ключ!$B$15),1,0)))</f>
        <v/>
      </c>
      <c r="S41" s="3" t="n"/>
      <c r="T41" s="3" t="n"/>
      <c r="U41" s="3" t="n"/>
      <c r="V41" s="3" t="n"/>
      <c r="W41" s="3" t="n"/>
      <c r="X41" s="3" t="n"/>
      <c r="Y41" s="3">
        <f>IF($C41="","",R41+SUM(S41:X41))</f>
        <v/>
      </c>
      <c r="Z41" s="3">
        <f>IF($C41="","",IF(Y41&gt;=15,"да","нет"))</f>
        <v/>
      </c>
      <c r="AA41" s="3">
        <f>IF($C41="","",ROUND(Y41/3,1))</f>
        <v/>
      </c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>
        <f>IF($C42="","",IF(D42="",0,IF(LOWER(TRIM(D42))=IF($C42="Б",Ключ!$C$2,Ключ!$B$2),1,0))+IF(E42="",0,IF(LOWER(TRIM(E42))=IF($C42="Б",Ключ!$C$3,Ключ!$B$3),1,0))+IF(F42="",0,IF(LOWER(TRIM(F42))=IF($C42="Б",Ключ!$C$4,Ключ!$B$4),1,0))+IF(G42="",0,IF(LOWER(TRIM(G42))=IF($C42="Б",Ключ!$C$5,Ключ!$B$5),1,0))+IF(H42="",0,IF(LOWER(TRIM(H42))=IF($C42="Б",Ключ!$C$6,Ключ!$B$6),1,0))+IF(I42="",0,IF(LOWER(TRIM(I42))=IF($C42="Б",Ключ!$C$7,Ключ!$B$7),1,0))+IF(J42="",0,IF(LOWER(TRIM(J42))=IF($C42="Б",Ключ!$C$8,Ключ!$B$8),1,0))+IF(K42="",0,IF(LOWER(TRIM(K42))=IF($C42="Б",Ключ!$C$9,Ключ!$B$9),1,0))+IF(L42="",0,IF(LOWER(TRIM(L42))=IF($C42="Б",Ключ!$C$10,Ключ!$B$10),1,0))+IF(M42="",0,IF(LOWER(TRIM(M42))=IF($C42="Б",Ключ!$C$11,Ключ!$B$11),1,0))+IF(N42="",0,IF(LOWER(TRIM(N42))=IF($C42="Б",Ключ!$C$12,Ключ!$B$12),1,0))+IF(O42="",0,IF(LOWER(TRIM(O42))=IF($C42="Б",Ключ!$C$13,Ключ!$B$13),1,0))+IF(P42="",0,IF(LOWER(TRIM(P42))=IF($C42="Б",Ключ!$C$14,Ключ!$B$14),1,0))+IF(Q42="",0,IF(LOWER(TRIM(Q42))=IF($C42="Б",Ключ!$C$15,Ключ!$B$15),1,0)))</f>
        <v/>
      </c>
      <c r="S42" s="3" t="n"/>
      <c r="T42" s="3" t="n"/>
      <c r="U42" s="3" t="n"/>
      <c r="V42" s="3" t="n"/>
      <c r="W42" s="3" t="n"/>
      <c r="X42" s="3" t="n"/>
      <c r="Y42" s="3">
        <f>IF($C42="","",R42+SUM(S42:X42))</f>
        <v/>
      </c>
      <c r="Z42" s="3">
        <f>IF($C42="","",IF(Y42&gt;=15,"да","нет"))</f>
        <v/>
      </c>
      <c r="AA42" s="3">
        <f>IF($C42="","",ROUND(Y42/3,1))</f>
        <v/>
      </c>
    </row>
    <row r="44">
      <c r="A44" s="1" t="inlineStr">
        <is>
          <t>Доля верных ответов по вопросу (для разбора на следующей паре)</t>
        </is>
      </c>
    </row>
    <row r="45">
      <c r="D45" s="4">
        <f>IFERROR((SUMPRODUCT(($C$3:$C$42="А")*(LOWER(TRIM(D3:D42))=Ключ!$B$2))+SUMPRODUCT(($C$3:$C$42="Б")*(LOWER(TRIM(D3:D42))=Ключ!$C$2)))/COUNTA($C$3:$C$42),"")</f>
        <v/>
      </c>
      <c r="E45" s="4">
        <f>IFERROR((SUMPRODUCT(($C$3:$C$42="А")*(LOWER(TRIM(E3:E42))=Ключ!$B$3))+SUMPRODUCT(($C$3:$C$42="Б")*(LOWER(TRIM(E3:E42))=Ключ!$C$3)))/COUNTA($C$3:$C$42),"")</f>
        <v/>
      </c>
      <c r="F45" s="4">
        <f>IFERROR((SUMPRODUCT(($C$3:$C$42="А")*(LOWER(TRIM(F3:F42))=Ключ!$B$4))+SUMPRODUCT(($C$3:$C$42="Б")*(LOWER(TRIM(F3:F42))=Ключ!$C$4)))/COUNTA($C$3:$C$42),"")</f>
        <v/>
      </c>
      <c r="G45" s="4">
        <f>IFERROR((SUMPRODUCT(($C$3:$C$42="А")*(LOWER(TRIM(G3:G42))=Ключ!$B$5))+SUMPRODUCT(($C$3:$C$42="Б")*(LOWER(TRIM(G3:G42))=Ключ!$C$5)))/COUNTA($C$3:$C$42),"")</f>
        <v/>
      </c>
      <c r="H45" s="4">
        <f>IFERROR((SUMPRODUCT(($C$3:$C$42="А")*(LOWER(TRIM(H3:H42))=Ключ!$B$6))+SUMPRODUCT(($C$3:$C$42="Б")*(LOWER(TRIM(H3:H42))=Ключ!$C$6)))/COUNTA($C$3:$C$42),"")</f>
        <v/>
      </c>
      <c r="I45" s="4">
        <f>IFERROR((SUMPRODUCT(($C$3:$C$42="А")*(LOWER(TRIM(I3:I42))=Ключ!$B$7))+SUMPRODUCT(($C$3:$C$42="Б")*(LOWER(TRIM(I3:I42))=Ключ!$C$7)))/COUNTA($C$3:$C$42),"")</f>
        <v/>
      </c>
      <c r="J45" s="4">
        <f>IFERROR((SUMPRODUCT(($C$3:$C$42="А")*(LOWER(TRIM(J3:J42))=Ключ!$B$8))+SUMPRODUCT(($C$3:$C$42="Б")*(LOWER(TRIM(J3:J42))=Ключ!$C$8)))/COUNTA($C$3:$C$42),"")</f>
        <v/>
      </c>
      <c r="K45" s="4">
        <f>IFERROR((SUMPRODUCT(($C$3:$C$42="А")*(LOWER(TRIM(K3:K42))=Ключ!$B$9))+SUMPRODUCT(($C$3:$C$42="Б")*(LOWER(TRIM(K3:K42))=Ключ!$C$9)))/COUNTA($C$3:$C$42),"")</f>
        <v/>
      </c>
      <c r="L45" s="4">
        <f>IFERROR((SUMPRODUCT(($C$3:$C$42="А")*(LOWER(TRIM(L3:L42))=Ключ!$B$10))+SUMPRODUCT(($C$3:$C$42="Б")*(LOWER(TRIM(L3:L42))=Ключ!$C$10)))/COUNTA($C$3:$C$42),"")</f>
        <v/>
      </c>
      <c r="M45" s="4">
        <f>IFERROR((SUMPRODUCT(($C$3:$C$42="А")*(LOWER(TRIM(M3:M42))=Ключ!$B$11))+SUMPRODUCT(($C$3:$C$42="Б")*(LOWER(TRIM(M3:M42))=Ключ!$C$11)))/COUNTA($C$3:$C$42),"")</f>
        <v/>
      </c>
      <c r="N45" s="4">
        <f>IFERROR((SUMPRODUCT(($C$3:$C$42="А")*(LOWER(TRIM(N3:N42))=Ключ!$B$12))+SUMPRODUCT(($C$3:$C$42="Б")*(LOWER(TRIM(N3:N42))=Ключ!$C$12)))/COUNTA($C$3:$C$42),"")</f>
        <v/>
      </c>
      <c r="O45" s="4">
        <f>IFERROR((SUMPRODUCT(($C$3:$C$42="А")*(LOWER(TRIM(O3:O42))=Ключ!$B$13))+SUMPRODUCT(($C$3:$C$42="Б")*(LOWER(TRIM(O3:O42))=Ключ!$C$13)))/COUNTA($C$3:$C$42),"")</f>
        <v/>
      </c>
      <c r="P45" s="4">
        <f>IFERROR((SUMPRODUCT(($C$3:$C$42="А")*(LOWER(TRIM(P3:P42))=Ключ!$B$14))+SUMPRODUCT(($C$3:$C$42="Б")*(LOWER(TRIM(P3:P42))=Ключ!$C$14)))/COUNTA($C$3:$C$42),"")</f>
        <v/>
      </c>
      <c r="Q45" s="4">
        <f>IFERROR((SUMPRODUCT(($C$3:$C$42="А")*(LOWER(TRIM(Q3:Q42))=Ключ!$B$15))+SUMPRODUCT(($C$3:$C$42="Б")*(LOWER(TRIM(Q3:Q42))=Ключ!$C$15)))/COUNTA($C$3:$C$42),"")</f>
        <v/>
      </c>
      <c r="S45" s="5">
        <f>IFERROR(AVERAGE(S3:S42),"")</f>
        <v/>
      </c>
      <c r="T45" s="5">
        <f>IFERROR(AVERAGE(T3:T42),"")</f>
        <v/>
      </c>
      <c r="U45" s="5">
        <f>IFERROR(AVERAGE(U3:U42),"")</f>
        <v/>
      </c>
      <c r="V45" s="5">
        <f>IFERROR(AVERAGE(V3:V42),"")</f>
        <v/>
      </c>
      <c r="W45" s="5">
        <f>IFERROR(AVERAGE(W3:W42),"")</f>
        <v/>
      </c>
      <c r="X45" s="5">
        <f>IFERROR(AVERAGE(X3:X42),"")</f>
        <v/>
      </c>
    </row>
    <row r="46">
      <c r="S46" t="inlineStr">
        <is>
          <t>← средний балл</t>
        </is>
      </c>
    </row>
  </sheetData>
  <conditionalFormatting sqref="D3:D42">
    <cfRule type="expression" priority="1" dxfId="0">
      <formula>AND(D3&lt;&gt;"",$C3&lt;&gt;"",LOWER(TRIM(D3))&lt;&gt;IF($C3="Б",Ключ!$C$2,Ключ!$B$2))</formula>
    </cfRule>
  </conditionalFormatting>
  <conditionalFormatting sqref="E3:E42">
    <cfRule type="expression" priority="2" dxfId="0">
      <formula>AND(E3&lt;&gt;"",$C3&lt;&gt;"",LOWER(TRIM(E3))&lt;&gt;IF($C3="Б",Ключ!$C$3,Ключ!$B$3))</formula>
    </cfRule>
  </conditionalFormatting>
  <conditionalFormatting sqref="F3:F42">
    <cfRule type="expression" priority="3" dxfId="0">
      <formula>AND(F3&lt;&gt;"",$C3&lt;&gt;"",LOWER(TRIM(F3))&lt;&gt;IF($C3="Б",Ключ!$C$4,Ключ!$B$4))</formula>
    </cfRule>
  </conditionalFormatting>
  <conditionalFormatting sqref="G3:G42">
    <cfRule type="expression" priority="4" dxfId="0">
      <formula>AND(G3&lt;&gt;"",$C3&lt;&gt;"",LOWER(TRIM(G3))&lt;&gt;IF($C3="Б",Ключ!$C$5,Ключ!$B$5))</formula>
    </cfRule>
  </conditionalFormatting>
  <conditionalFormatting sqref="H3:H42">
    <cfRule type="expression" priority="5" dxfId="0">
      <formula>AND(H3&lt;&gt;"",$C3&lt;&gt;"",LOWER(TRIM(H3))&lt;&gt;IF($C3="Б",Ключ!$C$6,Ключ!$B$6))</formula>
    </cfRule>
  </conditionalFormatting>
  <conditionalFormatting sqref="I3:I42">
    <cfRule type="expression" priority="6" dxfId="0">
      <formula>AND(I3&lt;&gt;"",$C3&lt;&gt;"",LOWER(TRIM(I3))&lt;&gt;IF($C3="Б",Ключ!$C$7,Ключ!$B$7))</formula>
    </cfRule>
  </conditionalFormatting>
  <conditionalFormatting sqref="J3:J42">
    <cfRule type="expression" priority="7" dxfId="0">
      <formula>AND(J3&lt;&gt;"",$C3&lt;&gt;"",LOWER(TRIM(J3))&lt;&gt;IF($C3="Б",Ключ!$C$8,Ключ!$B$8))</formula>
    </cfRule>
  </conditionalFormatting>
  <conditionalFormatting sqref="K3:K42">
    <cfRule type="expression" priority="8" dxfId="0">
      <formula>AND(K3&lt;&gt;"",$C3&lt;&gt;"",LOWER(TRIM(K3))&lt;&gt;IF($C3="Б",Ключ!$C$9,Ключ!$B$9))</formula>
    </cfRule>
  </conditionalFormatting>
  <conditionalFormatting sqref="L3:L42">
    <cfRule type="expression" priority="9" dxfId="0">
      <formula>AND(L3&lt;&gt;"",$C3&lt;&gt;"",LOWER(TRIM(L3))&lt;&gt;IF($C3="Б",Ключ!$C$10,Ключ!$B$10))</formula>
    </cfRule>
  </conditionalFormatting>
  <conditionalFormatting sqref="M3:M42">
    <cfRule type="expression" priority="10" dxfId="0">
      <formula>AND(M3&lt;&gt;"",$C3&lt;&gt;"",LOWER(TRIM(M3))&lt;&gt;IF($C3="Б",Ключ!$C$11,Ключ!$B$11))</formula>
    </cfRule>
  </conditionalFormatting>
  <conditionalFormatting sqref="N3:N42">
    <cfRule type="expression" priority="11" dxfId="0">
      <formula>AND(N3&lt;&gt;"",$C3&lt;&gt;"",LOWER(TRIM(N3))&lt;&gt;IF($C3="Б",Ключ!$C$12,Ключ!$B$12))</formula>
    </cfRule>
  </conditionalFormatting>
  <conditionalFormatting sqref="O3:O42">
    <cfRule type="expression" priority="12" dxfId="0">
      <formula>AND(O3&lt;&gt;"",$C3&lt;&gt;"",LOWER(TRIM(O3))&lt;&gt;IF($C3="Б",Ключ!$C$13,Ключ!$B$13))</formula>
    </cfRule>
  </conditionalFormatting>
  <conditionalFormatting sqref="P3:P42">
    <cfRule type="expression" priority="13" dxfId="0">
      <formula>AND(P3&lt;&gt;"",$C3&lt;&gt;"",LOWER(TRIM(P3))&lt;&gt;IF($C3="Б",Ключ!$C$14,Ключ!$B$14))</formula>
    </cfRule>
  </conditionalFormatting>
  <conditionalFormatting sqref="Q3:Q42">
    <cfRule type="expression" priority="14" dxfId="0">
      <formula>AND(Q3&lt;&gt;"",$C3&lt;&gt;"",LOWER(TRIM(Q3))&lt;&gt;IF($C3="Б",Ключ!$C$15,Ключ!$B$15))</formula>
    </cfRule>
  </conditionalFormatting>
  <conditionalFormatting sqref="Z3:Z42">
    <cfRule type="cellIs" priority="15" operator="equal" dxfId="1">
      <formula>"нет"</formula>
    </cfRule>
  </conditionalFormatting>
  <dataValidations count="8">
    <dataValidation sqref="C3:C42" showDropDown="0" showInputMessage="0" showErrorMessage="0" allowBlank="1" type="list">
      <formula1>"А,Б"</formula1>
    </dataValidation>
    <dataValidation sqref="D3:Q42" showDropDown="0" showInputMessage="0" showErrorMessage="0" allowBlank="1" type="list">
      <formula1>"а,б,в,г"</formula1>
    </dataValidation>
    <dataValidation sqref="S3:S42" showDropDown="0" showInputMessage="0" showErrorMessage="0" allowBlank="1" type="whole" operator="between">
      <formula1>0</formula1>
      <formula2>5</formula2>
    </dataValidation>
    <dataValidation sqref="T3:T42" showDropDown="0" showInputMessage="0" showErrorMessage="0" allowBlank="1" type="whole" operator="between">
      <formula1>0</formula1>
      <formula2>2</formula2>
    </dataValidation>
    <dataValidation sqref="U3:U42" showDropDown="0" showInputMessage="0" showErrorMessage="0" allowBlank="1" type="whole" operator="between">
      <formula1>0</formula1>
      <formula2>2</formula2>
    </dataValidation>
    <dataValidation sqref="V3:V42" showDropDown="0" showInputMessage="0" showErrorMessage="0" allowBlank="1" type="whole" operator="between">
      <formula1>0</formula1>
      <formula2>3</formula2>
    </dataValidation>
    <dataValidation sqref="W3:W42" showDropDown="0" showInputMessage="0" showErrorMessage="0" allowBlank="1" type="whole" operator="between">
      <formula1>0</formula1>
      <formula2>2</formula2>
    </dataValidation>
    <dataValidation sqref="X3:X42" showDropDown="0" showInputMessage="0" showErrorMessage="0" allowBlank="1" type="whole" operator="between">
      <formula1>0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1" t="inlineStr">
        <is>
          <t>Тест 1 «Инициация» · м531 · ответы 1–14 вписывать буквой (а/б/в/г), как обвёл студент; пусто — 0 баллов</t>
        </is>
      </c>
    </row>
    <row r="2" ht="32" customHeight="1">
      <c r="A2" s="2" t="inlineStr">
        <is>
          <t>ФИО</t>
        </is>
      </c>
      <c r="B2" s="2" t="inlineStr">
        <is>
          <t>Команда</t>
        </is>
      </c>
      <c r="C2" s="2" t="inlineStr">
        <is>
          <t>Вариант (А/Б)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14</t>
        </is>
      </c>
      <c r="R2" s="2" t="inlineStr">
        <is>
          <t>Баллы 1–14</t>
        </is>
      </c>
      <c r="S2" s="2" t="inlineStr">
        <is>
          <t>15 (0–5)</t>
        </is>
      </c>
      <c r="T2" s="2" t="inlineStr">
        <is>
          <t>16 (0–2)</t>
        </is>
      </c>
      <c r="U2" s="2" t="inlineStr">
        <is>
          <t>17 (0–2)</t>
        </is>
      </c>
      <c r="V2" s="2" t="inlineStr">
        <is>
          <t>18 (0–3)</t>
        </is>
      </c>
      <c r="W2" s="2" t="inlineStr">
        <is>
          <t>19 (0–2)</t>
        </is>
      </c>
      <c r="X2" s="2" t="inlineStr">
        <is>
          <t>20 (0–2)</t>
        </is>
      </c>
      <c r="Y2" s="2" t="inlineStr">
        <is>
          <t>Итого /30</t>
        </is>
      </c>
      <c r="Z2" s="2" t="inlineStr">
        <is>
          <t>Зачтено</t>
        </is>
      </c>
      <c r="AA2" s="2" t="inlineStr">
        <is>
          <t>В БРС /10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>
        <f>IF($C3="","",IF(D3="",0,IF(LOWER(TRIM(D3))=IF($C3="Б",Ключ!$C$2,Ключ!$B$2),1,0))+IF(E3="",0,IF(LOWER(TRIM(E3))=IF($C3="Б",Ключ!$C$3,Ключ!$B$3),1,0))+IF(F3="",0,IF(LOWER(TRIM(F3))=IF($C3="Б",Ключ!$C$4,Ключ!$B$4),1,0))+IF(G3="",0,IF(LOWER(TRIM(G3))=IF($C3="Б",Ключ!$C$5,Ключ!$B$5),1,0))+IF(H3="",0,IF(LOWER(TRIM(H3))=IF($C3="Б",Ключ!$C$6,Ключ!$B$6),1,0))+IF(I3="",0,IF(LOWER(TRIM(I3))=IF($C3="Б",Ключ!$C$7,Ключ!$B$7),1,0))+IF(J3="",0,IF(LOWER(TRIM(J3))=IF($C3="Б",Ключ!$C$8,Ключ!$B$8),1,0))+IF(K3="",0,IF(LOWER(TRIM(K3))=IF($C3="Б",Ключ!$C$9,Ключ!$B$9),1,0))+IF(L3="",0,IF(LOWER(TRIM(L3))=IF($C3="Б",Ключ!$C$10,Ключ!$B$10),1,0))+IF(M3="",0,IF(LOWER(TRIM(M3))=IF($C3="Б",Ключ!$C$11,Ключ!$B$11),1,0))+IF(N3="",0,IF(LOWER(TRIM(N3))=IF($C3="Б",Ключ!$C$12,Ключ!$B$12),1,0))+IF(O3="",0,IF(LOWER(TRIM(O3))=IF($C3="Б",Ключ!$C$13,Ключ!$B$13),1,0))+IF(P3="",0,IF(LOWER(TRIM(P3))=IF($C3="Б",Ключ!$C$14,Ключ!$B$14),1,0))+IF(Q3="",0,IF(LOWER(TRIM(Q3))=IF($C3="Б",Ключ!$C$15,Ключ!$B$15),1,0)))</f>
        <v/>
      </c>
      <c r="S3" s="3" t="n"/>
      <c r="T3" s="3" t="n"/>
      <c r="U3" s="3" t="n"/>
      <c r="V3" s="3" t="n"/>
      <c r="W3" s="3" t="n"/>
      <c r="X3" s="3" t="n"/>
      <c r="Y3" s="3">
        <f>IF($C3="","",R3+SUM(S3:X3))</f>
        <v/>
      </c>
      <c r="Z3" s="3">
        <f>IF($C3="","",IF(Y3&gt;=15,"да","нет"))</f>
        <v/>
      </c>
      <c r="AA3" s="3">
        <f>IF($C3="","",ROUND(Y3/3,1))</f>
        <v/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>
        <f>IF($C4="","",IF(D4="",0,IF(LOWER(TRIM(D4))=IF($C4="Б",Ключ!$C$2,Ключ!$B$2),1,0))+IF(E4="",0,IF(LOWER(TRIM(E4))=IF($C4="Б",Ключ!$C$3,Ключ!$B$3),1,0))+IF(F4="",0,IF(LOWER(TRIM(F4))=IF($C4="Б",Ключ!$C$4,Ключ!$B$4),1,0))+IF(G4="",0,IF(LOWER(TRIM(G4))=IF($C4="Б",Ключ!$C$5,Ключ!$B$5),1,0))+IF(H4="",0,IF(LOWER(TRIM(H4))=IF($C4="Б",Ключ!$C$6,Ключ!$B$6),1,0))+IF(I4="",0,IF(LOWER(TRIM(I4))=IF($C4="Б",Ключ!$C$7,Ключ!$B$7),1,0))+IF(J4="",0,IF(LOWER(TRIM(J4))=IF($C4="Б",Ключ!$C$8,Ключ!$B$8),1,0))+IF(K4="",0,IF(LOWER(TRIM(K4))=IF($C4="Б",Ключ!$C$9,Ключ!$B$9),1,0))+IF(L4="",0,IF(LOWER(TRIM(L4))=IF($C4="Б",Ключ!$C$10,Ключ!$B$10),1,0))+IF(M4="",0,IF(LOWER(TRIM(M4))=IF($C4="Б",Ключ!$C$11,Ключ!$B$11),1,0))+IF(N4="",0,IF(LOWER(TRIM(N4))=IF($C4="Б",Ключ!$C$12,Ключ!$B$12),1,0))+IF(O4="",0,IF(LOWER(TRIM(O4))=IF($C4="Б",Ключ!$C$13,Ключ!$B$13),1,0))+IF(P4="",0,IF(LOWER(TRIM(P4))=IF($C4="Б",Ключ!$C$14,Ключ!$B$14),1,0))+IF(Q4="",0,IF(LOWER(TRIM(Q4))=IF($C4="Б",Ключ!$C$15,Ключ!$B$15),1,0)))</f>
        <v/>
      </c>
      <c r="S4" s="3" t="n"/>
      <c r="T4" s="3" t="n"/>
      <c r="U4" s="3" t="n"/>
      <c r="V4" s="3" t="n"/>
      <c r="W4" s="3" t="n"/>
      <c r="X4" s="3" t="n"/>
      <c r="Y4" s="3">
        <f>IF($C4="","",R4+SUM(S4:X4))</f>
        <v/>
      </c>
      <c r="Z4" s="3">
        <f>IF($C4="","",IF(Y4&gt;=15,"да","нет"))</f>
        <v/>
      </c>
      <c r="AA4" s="3">
        <f>IF($C4="","",ROUND(Y4/3,1))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>
        <f>IF($C5="","",IF(D5="",0,IF(LOWER(TRIM(D5))=IF($C5="Б",Ключ!$C$2,Ключ!$B$2),1,0))+IF(E5="",0,IF(LOWER(TRIM(E5))=IF($C5="Б",Ключ!$C$3,Ключ!$B$3),1,0))+IF(F5="",0,IF(LOWER(TRIM(F5))=IF($C5="Б",Ключ!$C$4,Ключ!$B$4),1,0))+IF(G5="",0,IF(LOWER(TRIM(G5))=IF($C5="Б",Ключ!$C$5,Ключ!$B$5),1,0))+IF(H5="",0,IF(LOWER(TRIM(H5))=IF($C5="Б",Ключ!$C$6,Ключ!$B$6),1,0))+IF(I5="",0,IF(LOWER(TRIM(I5))=IF($C5="Б",Ключ!$C$7,Ключ!$B$7),1,0))+IF(J5="",0,IF(LOWER(TRIM(J5))=IF($C5="Б",Ключ!$C$8,Ключ!$B$8),1,0))+IF(K5="",0,IF(LOWER(TRIM(K5))=IF($C5="Б",Ключ!$C$9,Ключ!$B$9),1,0))+IF(L5="",0,IF(LOWER(TRIM(L5))=IF($C5="Б",Ключ!$C$10,Ключ!$B$10),1,0))+IF(M5="",0,IF(LOWER(TRIM(M5))=IF($C5="Б",Ключ!$C$11,Ключ!$B$11),1,0))+IF(N5="",0,IF(LOWER(TRIM(N5))=IF($C5="Б",Ключ!$C$12,Ключ!$B$12),1,0))+IF(O5="",0,IF(LOWER(TRIM(O5))=IF($C5="Б",Ключ!$C$13,Ключ!$B$13),1,0))+IF(P5="",0,IF(LOWER(TRIM(P5))=IF($C5="Б",Ключ!$C$14,Ключ!$B$14),1,0))+IF(Q5="",0,IF(LOWER(TRIM(Q5))=IF($C5="Б",Ключ!$C$15,Ключ!$B$15),1,0)))</f>
        <v/>
      </c>
      <c r="S5" s="3" t="n"/>
      <c r="T5" s="3" t="n"/>
      <c r="U5" s="3" t="n"/>
      <c r="V5" s="3" t="n"/>
      <c r="W5" s="3" t="n"/>
      <c r="X5" s="3" t="n"/>
      <c r="Y5" s="3">
        <f>IF($C5="","",R5+SUM(S5:X5))</f>
        <v/>
      </c>
      <c r="Z5" s="3">
        <f>IF($C5="","",IF(Y5&gt;=15,"да","нет"))</f>
        <v/>
      </c>
      <c r="AA5" s="3">
        <f>IF($C5="","",ROUND(Y5/3,1))</f>
        <v/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>
        <f>IF($C6="","",IF(D6="",0,IF(LOWER(TRIM(D6))=IF($C6="Б",Ключ!$C$2,Ключ!$B$2),1,0))+IF(E6="",0,IF(LOWER(TRIM(E6))=IF($C6="Б",Ключ!$C$3,Ключ!$B$3),1,0))+IF(F6="",0,IF(LOWER(TRIM(F6))=IF($C6="Б",Ключ!$C$4,Ключ!$B$4),1,0))+IF(G6="",0,IF(LOWER(TRIM(G6))=IF($C6="Б",Ключ!$C$5,Ключ!$B$5),1,0))+IF(H6="",0,IF(LOWER(TRIM(H6))=IF($C6="Б",Ключ!$C$6,Ключ!$B$6),1,0))+IF(I6="",0,IF(LOWER(TRIM(I6))=IF($C6="Б",Ключ!$C$7,Ключ!$B$7),1,0))+IF(J6="",0,IF(LOWER(TRIM(J6))=IF($C6="Б",Ключ!$C$8,Ключ!$B$8),1,0))+IF(K6="",0,IF(LOWER(TRIM(K6))=IF($C6="Б",Ключ!$C$9,Ключ!$B$9),1,0))+IF(L6="",0,IF(LOWER(TRIM(L6))=IF($C6="Б",Ключ!$C$10,Ключ!$B$10),1,0))+IF(M6="",0,IF(LOWER(TRIM(M6))=IF($C6="Б",Ключ!$C$11,Ключ!$B$11),1,0))+IF(N6="",0,IF(LOWER(TRIM(N6))=IF($C6="Б",Ключ!$C$12,Ключ!$B$12),1,0))+IF(O6="",0,IF(LOWER(TRIM(O6))=IF($C6="Б",Ключ!$C$13,Ключ!$B$13),1,0))+IF(P6="",0,IF(LOWER(TRIM(P6))=IF($C6="Б",Ключ!$C$14,Ключ!$B$14),1,0))+IF(Q6="",0,IF(LOWER(TRIM(Q6))=IF($C6="Б",Ключ!$C$15,Ключ!$B$15),1,0)))</f>
        <v/>
      </c>
      <c r="S6" s="3" t="n"/>
      <c r="T6" s="3" t="n"/>
      <c r="U6" s="3" t="n"/>
      <c r="V6" s="3" t="n"/>
      <c r="W6" s="3" t="n"/>
      <c r="X6" s="3" t="n"/>
      <c r="Y6" s="3">
        <f>IF($C6="","",R6+SUM(S6:X6))</f>
        <v/>
      </c>
      <c r="Z6" s="3">
        <f>IF($C6="","",IF(Y6&gt;=15,"да","нет"))</f>
        <v/>
      </c>
      <c r="AA6" s="3">
        <f>IF($C6="","",ROUND(Y6/3,1))</f>
        <v/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>
        <f>IF($C7="","",IF(D7="",0,IF(LOWER(TRIM(D7))=IF($C7="Б",Ключ!$C$2,Ключ!$B$2),1,0))+IF(E7="",0,IF(LOWER(TRIM(E7))=IF($C7="Б",Ключ!$C$3,Ключ!$B$3),1,0))+IF(F7="",0,IF(LOWER(TRIM(F7))=IF($C7="Б",Ключ!$C$4,Ключ!$B$4),1,0))+IF(G7="",0,IF(LOWER(TRIM(G7))=IF($C7="Б",Ключ!$C$5,Ключ!$B$5),1,0))+IF(H7="",0,IF(LOWER(TRIM(H7))=IF($C7="Б",Ключ!$C$6,Ключ!$B$6),1,0))+IF(I7="",0,IF(LOWER(TRIM(I7))=IF($C7="Б",Ключ!$C$7,Ключ!$B$7),1,0))+IF(J7="",0,IF(LOWER(TRIM(J7))=IF($C7="Б",Ключ!$C$8,Ключ!$B$8),1,0))+IF(K7="",0,IF(LOWER(TRIM(K7))=IF($C7="Б",Ключ!$C$9,Ключ!$B$9),1,0))+IF(L7="",0,IF(LOWER(TRIM(L7))=IF($C7="Б",Ключ!$C$10,Ключ!$B$10),1,0))+IF(M7="",0,IF(LOWER(TRIM(M7))=IF($C7="Б",Ключ!$C$11,Ключ!$B$11),1,0))+IF(N7="",0,IF(LOWER(TRIM(N7))=IF($C7="Б",Ключ!$C$12,Ключ!$B$12),1,0))+IF(O7="",0,IF(LOWER(TRIM(O7))=IF($C7="Б",Ключ!$C$13,Ключ!$B$13),1,0))+IF(P7="",0,IF(LOWER(TRIM(P7))=IF($C7="Б",Ключ!$C$14,Ключ!$B$14),1,0))+IF(Q7="",0,IF(LOWER(TRIM(Q7))=IF($C7="Б",Ключ!$C$15,Ключ!$B$15),1,0)))</f>
        <v/>
      </c>
      <c r="S7" s="3" t="n"/>
      <c r="T7" s="3" t="n"/>
      <c r="U7" s="3" t="n"/>
      <c r="V7" s="3" t="n"/>
      <c r="W7" s="3" t="n"/>
      <c r="X7" s="3" t="n"/>
      <c r="Y7" s="3">
        <f>IF($C7="","",R7+SUM(S7:X7))</f>
        <v/>
      </c>
      <c r="Z7" s="3">
        <f>IF($C7="","",IF(Y7&gt;=15,"да","нет"))</f>
        <v/>
      </c>
      <c r="AA7" s="3">
        <f>IF($C7="","",ROUND(Y7/3,1))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>
        <f>IF($C8="","",IF(D8="",0,IF(LOWER(TRIM(D8))=IF($C8="Б",Ключ!$C$2,Ключ!$B$2),1,0))+IF(E8="",0,IF(LOWER(TRIM(E8))=IF($C8="Б",Ключ!$C$3,Ключ!$B$3),1,0))+IF(F8="",0,IF(LOWER(TRIM(F8))=IF($C8="Б",Ключ!$C$4,Ключ!$B$4),1,0))+IF(G8="",0,IF(LOWER(TRIM(G8))=IF($C8="Б",Ключ!$C$5,Ключ!$B$5),1,0))+IF(H8="",0,IF(LOWER(TRIM(H8))=IF($C8="Б",Ключ!$C$6,Ключ!$B$6),1,0))+IF(I8="",0,IF(LOWER(TRIM(I8))=IF($C8="Б",Ключ!$C$7,Ключ!$B$7),1,0))+IF(J8="",0,IF(LOWER(TRIM(J8))=IF($C8="Б",Ключ!$C$8,Ключ!$B$8),1,0))+IF(K8="",0,IF(LOWER(TRIM(K8))=IF($C8="Б",Ключ!$C$9,Ключ!$B$9),1,0))+IF(L8="",0,IF(LOWER(TRIM(L8))=IF($C8="Б",Ключ!$C$10,Ключ!$B$10),1,0))+IF(M8="",0,IF(LOWER(TRIM(M8))=IF($C8="Б",Ключ!$C$11,Ключ!$B$11),1,0))+IF(N8="",0,IF(LOWER(TRIM(N8))=IF($C8="Б",Ключ!$C$12,Ключ!$B$12),1,0))+IF(O8="",0,IF(LOWER(TRIM(O8))=IF($C8="Б",Ключ!$C$13,Ключ!$B$13),1,0))+IF(P8="",0,IF(LOWER(TRIM(P8))=IF($C8="Б",Ключ!$C$14,Ключ!$B$14),1,0))+IF(Q8="",0,IF(LOWER(TRIM(Q8))=IF($C8="Б",Ключ!$C$15,Ключ!$B$15),1,0)))</f>
        <v/>
      </c>
      <c r="S8" s="3" t="n"/>
      <c r="T8" s="3" t="n"/>
      <c r="U8" s="3" t="n"/>
      <c r="V8" s="3" t="n"/>
      <c r="W8" s="3" t="n"/>
      <c r="X8" s="3" t="n"/>
      <c r="Y8" s="3">
        <f>IF($C8="","",R8+SUM(S8:X8))</f>
        <v/>
      </c>
      <c r="Z8" s="3">
        <f>IF($C8="","",IF(Y8&gt;=15,"да","нет"))</f>
        <v/>
      </c>
      <c r="AA8" s="3">
        <f>IF($C8="","",ROUND(Y8/3,1))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>
        <f>IF($C9="","",IF(D9="",0,IF(LOWER(TRIM(D9))=IF($C9="Б",Ключ!$C$2,Ключ!$B$2),1,0))+IF(E9="",0,IF(LOWER(TRIM(E9))=IF($C9="Б",Ключ!$C$3,Ключ!$B$3),1,0))+IF(F9="",0,IF(LOWER(TRIM(F9))=IF($C9="Б",Ключ!$C$4,Ключ!$B$4),1,0))+IF(G9="",0,IF(LOWER(TRIM(G9))=IF($C9="Б",Ключ!$C$5,Ключ!$B$5),1,0))+IF(H9="",0,IF(LOWER(TRIM(H9))=IF($C9="Б",Ключ!$C$6,Ключ!$B$6),1,0))+IF(I9="",0,IF(LOWER(TRIM(I9))=IF($C9="Б",Ключ!$C$7,Ключ!$B$7),1,0))+IF(J9="",0,IF(LOWER(TRIM(J9))=IF($C9="Б",Ключ!$C$8,Ключ!$B$8),1,0))+IF(K9="",0,IF(LOWER(TRIM(K9))=IF($C9="Б",Ключ!$C$9,Ключ!$B$9),1,0))+IF(L9="",0,IF(LOWER(TRIM(L9))=IF($C9="Б",Ключ!$C$10,Ключ!$B$10),1,0))+IF(M9="",0,IF(LOWER(TRIM(M9))=IF($C9="Б",Ключ!$C$11,Ключ!$B$11),1,0))+IF(N9="",0,IF(LOWER(TRIM(N9))=IF($C9="Б",Ключ!$C$12,Ключ!$B$12),1,0))+IF(O9="",0,IF(LOWER(TRIM(O9))=IF($C9="Б",Ключ!$C$13,Ключ!$B$13),1,0))+IF(P9="",0,IF(LOWER(TRIM(P9))=IF($C9="Б",Ключ!$C$14,Ключ!$B$14),1,0))+IF(Q9="",0,IF(LOWER(TRIM(Q9))=IF($C9="Б",Ключ!$C$15,Ключ!$B$15),1,0)))</f>
        <v/>
      </c>
      <c r="S9" s="3" t="n"/>
      <c r="T9" s="3" t="n"/>
      <c r="U9" s="3" t="n"/>
      <c r="V9" s="3" t="n"/>
      <c r="W9" s="3" t="n"/>
      <c r="X9" s="3" t="n"/>
      <c r="Y9" s="3">
        <f>IF($C9="","",R9+SUM(S9:X9))</f>
        <v/>
      </c>
      <c r="Z9" s="3">
        <f>IF($C9="","",IF(Y9&gt;=15,"да","нет"))</f>
        <v/>
      </c>
      <c r="AA9" s="3">
        <f>IF($C9="","",ROUND(Y9/3,1))</f>
        <v/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>
        <f>IF($C10="","",IF(D10="",0,IF(LOWER(TRIM(D10))=IF($C10="Б",Ключ!$C$2,Ключ!$B$2),1,0))+IF(E10="",0,IF(LOWER(TRIM(E10))=IF($C10="Б",Ключ!$C$3,Ключ!$B$3),1,0))+IF(F10="",0,IF(LOWER(TRIM(F10))=IF($C10="Б",Ключ!$C$4,Ключ!$B$4),1,0))+IF(G10="",0,IF(LOWER(TRIM(G10))=IF($C10="Б",Ключ!$C$5,Ключ!$B$5),1,0))+IF(H10="",0,IF(LOWER(TRIM(H10))=IF($C10="Б",Ключ!$C$6,Ключ!$B$6),1,0))+IF(I10="",0,IF(LOWER(TRIM(I10))=IF($C10="Б",Ключ!$C$7,Ключ!$B$7),1,0))+IF(J10="",0,IF(LOWER(TRIM(J10))=IF($C10="Б",Ключ!$C$8,Ключ!$B$8),1,0))+IF(K10="",0,IF(LOWER(TRIM(K10))=IF($C10="Б",Ключ!$C$9,Ключ!$B$9),1,0))+IF(L10="",0,IF(LOWER(TRIM(L10))=IF($C10="Б",Ключ!$C$10,Ключ!$B$10),1,0))+IF(M10="",0,IF(LOWER(TRIM(M10))=IF($C10="Б",Ключ!$C$11,Ключ!$B$11),1,0))+IF(N10="",0,IF(LOWER(TRIM(N10))=IF($C10="Б",Ключ!$C$12,Ключ!$B$12),1,0))+IF(O10="",0,IF(LOWER(TRIM(O10))=IF($C10="Б",Ключ!$C$13,Ключ!$B$13),1,0))+IF(P10="",0,IF(LOWER(TRIM(P10))=IF($C10="Б",Ключ!$C$14,Ключ!$B$14),1,0))+IF(Q10="",0,IF(LOWER(TRIM(Q10))=IF($C10="Б",Ключ!$C$15,Ключ!$B$15),1,0)))</f>
        <v/>
      </c>
      <c r="S10" s="3" t="n"/>
      <c r="T10" s="3" t="n"/>
      <c r="U10" s="3" t="n"/>
      <c r="V10" s="3" t="n"/>
      <c r="W10" s="3" t="n"/>
      <c r="X10" s="3" t="n"/>
      <c r="Y10" s="3">
        <f>IF($C10="","",R10+SUM(S10:X10))</f>
        <v/>
      </c>
      <c r="Z10" s="3">
        <f>IF($C10="","",IF(Y10&gt;=15,"да","нет"))</f>
        <v/>
      </c>
      <c r="AA10" s="3">
        <f>IF($C10="","",ROUND(Y10/3,1))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>
        <f>IF($C11="","",IF(D11="",0,IF(LOWER(TRIM(D11))=IF($C11="Б",Ключ!$C$2,Ключ!$B$2),1,0))+IF(E11="",0,IF(LOWER(TRIM(E11))=IF($C11="Б",Ключ!$C$3,Ключ!$B$3),1,0))+IF(F11="",0,IF(LOWER(TRIM(F11))=IF($C11="Б",Ключ!$C$4,Ключ!$B$4),1,0))+IF(G11="",0,IF(LOWER(TRIM(G11))=IF($C11="Б",Ключ!$C$5,Ключ!$B$5),1,0))+IF(H11="",0,IF(LOWER(TRIM(H11))=IF($C11="Б",Ключ!$C$6,Ключ!$B$6),1,0))+IF(I11="",0,IF(LOWER(TRIM(I11))=IF($C11="Б",Ключ!$C$7,Ключ!$B$7),1,0))+IF(J11="",0,IF(LOWER(TRIM(J11))=IF($C11="Б",Ключ!$C$8,Ключ!$B$8),1,0))+IF(K11="",0,IF(LOWER(TRIM(K11))=IF($C11="Б",Ключ!$C$9,Ключ!$B$9),1,0))+IF(L11="",0,IF(LOWER(TRIM(L11))=IF($C11="Б",Ключ!$C$10,Ключ!$B$10),1,0))+IF(M11="",0,IF(LOWER(TRIM(M11))=IF($C11="Б",Ключ!$C$11,Ключ!$B$11),1,0))+IF(N11="",0,IF(LOWER(TRIM(N11))=IF($C11="Б",Ключ!$C$12,Ключ!$B$12),1,0))+IF(O11="",0,IF(LOWER(TRIM(O11))=IF($C11="Б",Ключ!$C$13,Ключ!$B$13),1,0))+IF(P11="",0,IF(LOWER(TRIM(P11))=IF($C11="Б",Ключ!$C$14,Ключ!$B$14),1,0))+IF(Q11="",0,IF(LOWER(TRIM(Q11))=IF($C11="Б",Ключ!$C$15,Ключ!$B$15),1,0)))</f>
        <v/>
      </c>
      <c r="S11" s="3" t="n"/>
      <c r="T11" s="3" t="n"/>
      <c r="U11" s="3" t="n"/>
      <c r="V11" s="3" t="n"/>
      <c r="W11" s="3" t="n"/>
      <c r="X11" s="3" t="n"/>
      <c r="Y11" s="3">
        <f>IF($C11="","",R11+SUM(S11:X11))</f>
        <v/>
      </c>
      <c r="Z11" s="3">
        <f>IF($C11="","",IF(Y11&gt;=15,"да","нет"))</f>
        <v/>
      </c>
      <c r="AA11" s="3">
        <f>IF($C11="","",ROUND(Y11/3,1))</f>
        <v/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>
        <f>IF($C12="","",IF(D12="",0,IF(LOWER(TRIM(D12))=IF($C12="Б",Ключ!$C$2,Ключ!$B$2),1,0))+IF(E12="",0,IF(LOWER(TRIM(E12))=IF($C12="Б",Ключ!$C$3,Ключ!$B$3),1,0))+IF(F12="",0,IF(LOWER(TRIM(F12))=IF($C12="Б",Ключ!$C$4,Ключ!$B$4),1,0))+IF(G12="",0,IF(LOWER(TRIM(G12))=IF($C12="Б",Ключ!$C$5,Ключ!$B$5),1,0))+IF(H12="",0,IF(LOWER(TRIM(H12))=IF($C12="Б",Ключ!$C$6,Ключ!$B$6),1,0))+IF(I12="",0,IF(LOWER(TRIM(I12))=IF($C12="Б",Ключ!$C$7,Ключ!$B$7),1,0))+IF(J12="",0,IF(LOWER(TRIM(J12))=IF($C12="Б",Ключ!$C$8,Ключ!$B$8),1,0))+IF(K12="",0,IF(LOWER(TRIM(K12))=IF($C12="Б",Ключ!$C$9,Ключ!$B$9),1,0))+IF(L12="",0,IF(LOWER(TRIM(L12))=IF($C12="Б",Ключ!$C$10,Ключ!$B$10),1,0))+IF(M12="",0,IF(LOWER(TRIM(M12))=IF($C12="Б",Ключ!$C$11,Ключ!$B$11),1,0))+IF(N12="",0,IF(LOWER(TRIM(N12))=IF($C12="Б",Ключ!$C$12,Ключ!$B$12),1,0))+IF(O12="",0,IF(LOWER(TRIM(O12))=IF($C12="Б",Ключ!$C$13,Ключ!$B$13),1,0))+IF(P12="",0,IF(LOWER(TRIM(P12))=IF($C12="Б",Ключ!$C$14,Ключ!$B$14),1,0))+IF(Q12="",0,IF(LOWER(TRIM(Q12))=IF($C12="Б",Ключ!$C$15,Ключ!$B$15),1,0)))</f>
        <v/>
      </c>
      <c r="S12" s="3" t="n"/>
      <c r="T12" s="3" t="n"/>
      <c r="U12" s="3" t="n"/>
      <c r="V12" s="3" t="n"/>
      <c r="W12" s="3" t="n"/>
      <c r="X12" s="3" t="n"/>
      <c r="Y12" s="3">
        <f>IF($C12="","",R12+SUM(S12:X12))</f>
        <v/>
      </c>
      <c r="Z12" s="3">
        <f>IF($C12="","",IF(Y12&gt;=15,"да","нет"))</f>
        <v/>
      </c>
      <c r="AA12" s="3">
        <f>IF($C12="","",ROUND(Y12/3,1))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>
        <f>IF($C13="","",IF(D13="",0,IF(LOWER(TRIM(D13))=IF($C13="Б",Ключ!$C$2,Ключ!$B$2),1,0))+IF(E13="",0,IF(LOWER(TRIM(E13))=IF($C13="Б",Ключ!$C$3,Ключ!$B$3),1,0))+IF(F13="",0,IF(LOWER(TRIM(F13))=IF($C13="Б",Ключ!$C$4,Ключ!$B$4),1,0))+IF(G13="",0,IF(LOWER(TRIM(G13))=IF($C13="Б",Ключ!$C$5,Ключ!$B$5),1,0))+IF(H13="",0,IF(LOWER(TRIM(H13))=IF($C13="Б",Ключ!$C$6,Ключ!$B$6),1,0))+IF(I13="",0,IF(LOWER(TRIM(I13))=IF($C13="Б",Ключ!$C$7,Ключ!$B$7),1,0))+IF(J13="",0,IF(LOWER(TRIM(J13))=IF($C13="Б",Ключ!$C$8,Ключ!$B$8),1,0))+IF(K13="",0,IF(LOWER(TRIM(K13))=IF($C13="Б",Ключ!$C$9,Ключ!$B$9),1,0))+IF(L13="",0,IF(LOWER(TRIM(L13))=IF($C13="Б",Ключ!$C$10,Ключ!$B$10),1,0))+IF(M13="",0,IF(LOWER(TRIM(M13))=IF($C13="Б",Ключ!$C$11,Ключ!$B$11),1,0))+IF(N13="",0,IF(LOWER(TRIM(N13))=IF($C13="Б",Ключ!$C$12,Ключ!$B$12),1,0))+IF(O13="",0,IF(LOWER(TRIM(O13))=IF($C13="Б",Ключ!$C$13,Ключ!$B$13),1,0))+IF(P13="",0,IF(LOWER(TRIM(P13))=IF($C13="Б",Ключ!$C$14,Ключ!$B$14),1,0))+IF(Q13="",0,IF(LOWER(TRIM(Q13))=IF($C13="Б",Ключ!$C$15,Ключ!$B$15),1,0)))</f>
        <v/>
      </c>
      <c r="S13" s="3" t="n"/>
      <c r="T13" s="3" t="n"/>
      <c r="U13" s="3" t="n"/>
      <c r="V13" s="3" t="n"/>
      <c r="W13" s="3" t="n"/>
      <c r="X13" s="3" t="n"/>
      <c r="Y13" s="3">
        <f>IF($C13="","",R13+SUM(S13:X13))</f>
        <v/>
      </c>
      <c r="Z13" s="3">
        <f>IF($C13="","",IF(Y13&gt;=15,"да","нет"))</f>
        <v/>
      </c>
      <c r="AA13" s="3">
        <f>IF($C13="","",ROUND(Y13/3,1))</f>
        <v/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>
        <f>IF($C14="","",IF(D14="",0,IF(LOWER(TRIM(D14))=IF($C14="Б",Ключ!$C$2,Ключ!$B$2),1,0))+IF(E14="",0,IF(LOWER(TRIM(E14))=IF($C14="Б",Ключ!$C$3,Ключ!$B$3),1,0))+IF(F14="",0,IF(LOWER(TRIM(F14))=IF($C14="Б",Ключ!$C$4,Ключ!$B$4),1,0))+IF(G14="",0,IF(LOWER(TRIM(G14))=IF($C14="Б",Ключ!$C$5,Ключ!$B$5),1,0))+IF(H14="",0,IF(LOWER(TRIM(H14))=IF($C14="Б",Ключ!$C$6,Ключ!$B$6),1,0))+IF(I14="",0,IF(LOWER(TRIM(I14))=IF($C14="Б",Ключ!$C$7,Ключ!$B$7),1,0))+IF(J14="",0,IF(LOWER(TRIM(J14))=IF($C14="Б",Ключ!$C$8,Ключ!$B$8),1,0))+IF(K14="",0,IF(LOWER(TRIM(K14))=IF($C14="Б",Ключ!$C$9,Ключ!$B$9),1,0))+IF(L14="",0,IF(LOWER(TRIM(L14))=IF($C14="Б",Ключ!$C$10,Ключ!$B$10),1,0))+IF(M14="",0,IF(LOWER(TRIM(M14))=IF($C14="Б",Ключ!$C$11,Ключ!$B$11),1,0))+IF(N14="",0,IF(LOWER(TRIM(N14))=IF($C14="Б",Ключ!$C$12,Ключ!$B$12),1,0))+IF(O14="",0,IF(LOWER(TRIM(O14))=IF($C14="Б",Ключ!$C$13,Ключ!$B$13),1,0))+IF(P14="",0,IF(LOWER(TRIM(P14))=IF($C14="Б",Ключ!$C$14,Ключ!$B$14),1,0))+IF(Q14="",0,IF(LOWER(TRIM(Q14))=IF($C14="Б",Ключ!$C$15,Ключ!$B$15),1,0)))</f>
        <v/>
      </c>
      <c r="S14" s="3" t="n"/>
      <c r="T14" s="3" t="n"/>
      <c r="U14" s="3" t="n"/>
      <c r="V14" s="3" t="n"/>
      <c r="W14" s="3" t="n"/>
      <c r="X14" s="3" t="n"/>
      <c r="Y14" s="3">
        <f>IF($C14="","",R14+SUM(S14:X14))</f>
        <v/>
      </c>
      <c r="Z14" s="3">
        <f>IF($C14="","",IF(Y14&gt;=15,"да","нет"))</f>
        <v/>
      </c>
      <c r="AA14" s="3">
        <f>IF($C14="","",ROUND(Y14/3,1))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>
        <f>IF($C15="","",IF(D15="",0,IF(LOWER(TRIM(D15))=IF($C15="Б",Ключ!$C$2,Ключ!$B$2),1,0))+IF(E15="",0,IF(LOWER(TRIM(E15))=IF($C15="Б",Ключ!$C$3,Ключ!$B$3),1,0))+IF(F15="",0,IF(LOWER(TRIM(F15))=IF($C15="Б",Ключ!$C$4,Ключ!$B$4),1,0))+IF(G15="",0,IF(LOWER(TRIM(G15))=IF($C15="Б",Ключ!$C$5,Ключ!$B$5),1,0))+IF(H15="",0,IF(LOWER(TRIM(H15))=IF($C15="Б",Ключ!$C$6,Ключ!$B$6),1,0))+IF(I15="",0,IF(LOWER(TRIM(I15))=IF($C15="Б",Ключ!$C$7,Ключ!$B$7),1,0))+IF(J15="",0,IF(LOWER(TRIM(J15))=IF($C15="Б",Ключ!$C$8,Ключ!$B$8),1,0))+IF(K15="",0,IF(LOWER(TRIM(K15))=IF($C15="Б",Ключ!$C$9,Ключ!$B$9),1,0))+IF(L15="",0,IF(LOWER(TRIM(L15))=IF($C15="Б",Ключ!$C$10,Ключ!$B$10),1,0))+IF(M15="",0,IF(LOWER(TRIM(M15))=IF($C15="Б",Ключ!$C$11,Ключ!$B$11),1,0))+IF(N15="",0,IF(LOWER(TRIM(N15))=IF($C15="Б",Ключ!$C$12,Ключ!$B$12),1,0))+IF(O15="",0,IF(LOWER(TRIM(O15))=IF($C15="Б",Ключ!$C$13,Ключ!$B$13),1,0))+IF(P15="",0,IF(LOWER(TRIM(P15))=IF($C15="Б",Ключ!$C$14,Ключ!$B$14),1,0))+IF(Q15="",0,IF(LOWER(TRIM(Q15))=IF($C15="Б",Ключ!$C$15,Ключ!$B$15),1,0)))</f>
        <v/>
      </c>
      <c r="S15" s="3" t="n"/>
      <c r="T15" s="3" t="n"/>
      <c r="U15" s="3" t="n"/>
      <c r="V15" s="3" t="n"/>
      <c r="W15" s="3" t="n"/>
      <c r="X15" s="3" t="n"/>
      <c r="Y15" s="3">
        <f>IF($C15="","",R15+SUM(S15:X15))</f>
        <v/>
      </c>
      <c r="Z15" s="3">
        <f>IF($C15="","",IF(Y15&gt;=15,"да","нет"))</f>
        <v/>
      </c>
      <c r="AA15" s="3">
        <f>IF($C15="","",ROUND(Y15/3,1))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>
        <f>IF($C16="","",IF(D16="",0,IF(LOWER(TRIM(D16))=IF($C16="Б",Ключ!$C$2,Ключ!$B$2),1,0))+IF(E16="",0,IF(LOWER(TRIM(E16))=IF($C16="Б",Ключ!$C$3,Ключ!$B$3),1,0))+IF(F16="",0,IF(LOWER(TRIM(F16))=IF($C16="Б",Ключ!$C$4,Ключ!$B$4),1,0))+IF(G16="",0,IF(LOWER(TRIM(G16))=IF($C16="Б",Ключ!$C$5,Ключ!$B$5),1,0))+IF(H16="",0,IF(LOWER(TRIM(H16))=IF($C16="Б",Ключ!$C$6,Ключ!$B$6),1,0))+IF(I16="",0,IF(LOWER(TRIM(I16))=IF($C16="Б",Ключ!$C$7,Ключ!$B$7),1,0))+IF(J16="",0,IF(LOWER(TRIM(J16))=IF($C16="Б",Ключ!$C$8,Ключ!$B$8),1,0))+IF(K16="",0,IF(LOWER(TRIM(K16))=IF($C16="Б",Ключ!$C$9,Ключ!$B$9),1,0))+IF(L16="",0,IF(LOWER(TRIM(L16))=IF($C16="Б",Ключ!$C$10,Ключ!$B$10),1,0))+IF(M16="",0,IF(LOWER(TRIM(M16))=IF($C16="Б",Ключ!$C$11,Ключ!$B$11),1,0))+IF(N16="",0,IF(LOWER(TRIM(N16))=IF($C16="Б",Ключ!$C$12,Ключ!$B$12),1,0))+IF(O16="",0,IF(LOWER(TRIM(O16))=IF($C16="Б",Ключ!$C$13,Ключ!$B$13),1,0))+IF(P16="",0,IF(LOWER(TRIM(P16))=IF($C16="Б",Ключ!$C$14,Ключ!$B$14),1,0))+IF(Q16="",0,IF(LOWER(TRIM(Q16))=IF($C16="Б",Ключ!$C$15,Ключ!$B$15),1,0)))</f>
        <v/>
      </c>
      <c r="S16" s="3" t="n"/>
      <c r="T16" s="3" t="n"/>
      <c r="U16" s="3" t="n"/>
      <c r="V16" s="3" t="n"/>
      <c r="W16" s="3" t="n"/>
      <c r="X16" s="3" t="n"/>
      <c r="Y16" s="3">
        <f>IF($C16="","",R16+SUM(S16:X16))</f>
        <v/>
      </c>
      <c r="Z16" s="3">
        <f>IF($C16="","",IF(Y16&gt;=15,"да","нет"))</f>
        <v/>
      </c>
      <c r="AA16" s="3">
        <f>IF($C16="","",ROUND(Y16/3,1))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>
        <f>IF($C17="","",IF(D17="",0,IF(LOWER(TRIM(D17))=IF($C17="Б",Ключ!$C$2,Ключ!$B$2),1,0))+IF(E17="",0,IF(LOWER(TRIM(E17))=IF($C17="Б",Ключ!$C$3,Ключ!$B$3),1,0))+IF(F17="",0,IF(LOWER(TRIM(F17))=IF($C17="Б",Ключ!$C$4,Ключ!$B$4),1,0))+IF(G17="",0,IF(LOWER(TRIM(G17))=IF($C17="Б",Ключ!$C$5,Ключ!$B$5),1,0))+IF(H17="",0,IF(LOWER(TRIM(H17))=IF($C17="Б",Ключ!$C$6,Ключ!$B$6),1,0))+IF(I17="",0,IF(LOWER(TRIM(I17))=IF($C17="Б",Ключ!$C$7,Ключ!$B$7),1,0))+IF(J17="",0,IF(LOWER(TRIM(J17))=IF($C17="Б",Ключ!$C$8,Ключ!$B$8),1,0))+IF(K17="",0,IF(LOWER(TRIM(K17))=IF($C17="Б",Ключ!$C$9,Ключ!$B$9),1,0))+IF(L17="",0,IF(LOWER(TRIM(L17))=IF($C17="Б",Ключ!$C$10,Ключ!$B$10),1,0))+IF(M17="",0,IF(LOWER(TRIM(M17))=IF($C17="Б",Ключ!$C$11,Ключ!$B$11),1,0))+IF(N17="",0,IF(LOWER(TRIM(N17))=IF($C17="Б",Ключ!$C$12,Ключ!$B$12),1,0))+IF(O17="",0,IF(LOWER(TRIM(O17))=IF($C17="Б",Ключ!$C$13,Ключ!$B$13),1,0))+IF(P17="",0,IF(LOWER(TRIM(P17))=IF($C17="Б",Ключ!$C$14,Ключ!$B$14),1,0))+IF(Q17="",0,IF(LOWER(TRIM(Q17))=IF($C17="Б",Ключ!$C$15,Ключ!$B$15),1,0)))</f>
        <v/>
      </c>
      <c r="S17" s="3" t="n"/>
      <c r="T17" s="3" t="n"/>
      <c r="U17" s="3" t="n"/>
      <c r="V17" s="3" t="n"/>
      <c r="W17" s="3" t="n"/>
      <c r="X17" s="3" t="n"/>
      <c r="Y17" s="3">
        <f>IF($C17="","",R17+SUM(S17:X17))</f>
        <v/>
      </c>
      <c r="Z17" s="3">
        <f>IF($C17="","",IF(Y17&gt;=15,"да","нет"))</f>
        <v/>
      </c>
      <c r="AA17" s="3">
        <f>IF($C17="","",ROUND(Y17/3,1))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>
        <f>IF($C18="","",IF(D18="",0,IF(LOWER(TRIM(D18))=IF($C18="Б",Ключ!$C$2,Ключ!$B$2),1,0))+IF(E18="",0,IF(LOWER(TRIM(E18))=IF($C18="Б",Ключ!$C$3,Ключ!$B$3),1,0))+IF(F18="",0,IF(LOWER(TRIM(F18))=IF($C18="Б",Ключ!$C$4,Ключ!$B$4),1,0))+IF(G18="",0,IF(LOWER(TRIM(G18))=IF($C18="Б",Ключ!$C$5,Ключ!$B$5),1,0))+IF(H18="",0,IF(LOWER(TRIM(H18))=IF($C18="Б",Ключ!$C$6,Ключ!$B$6),1,0))+IF(I18="",0,IF(LOWER(TRIM(I18))=IF($C18="Б",Ключ!$C$7,Ключ!$B$7),1,0))+IF(J18="",0,IF(LOWER(TRIM(J18))=IF($C18="Б",Ключ!$C$8,Ключ!$B$8),1,0))+IF(K18="",0,IF(LOWER(TRIM(K18))=IF($C18="Б",Ключ!$C$9,Ключ!$B$9),1,0))+IF(L18="",0,IF(LOWER(TRIM(L18))=IF($C18="Б",Ключ!$C$10,Ключ!$B$10),1,0))+IF(M18="",0,IF(LOWER(TRIM(M18))=IF($C18="Б",Ключ!$C$11,Ключ!$B$11),1,0))+IF(N18="",0,IF(LOWER(TRIM(N18))=IF($C18="Б",Ключ!$C$12,Ключ!$B$12),1,0))+IF(O18="",0,IF(LOWER(TRIM(O18))=IF($C18="Б",Ключ!$C$13,Ключ!$B$13),1,0))+IF(P18="",0,IF(LOWER(TRIM(P18))=IF($C18="Б",Ключ!$C$14,Ключ!$B$14),1,0))+IF(Q18="",0,IF(LOWER(TRIM(Q18))=IF($C18="Б",Ключ!$C$15,Ключ!$B$15),1,0)))</f>
        <v/>
      </c>
      <c r="S18" s="3" t="n"/>
      <c r="T18" s="3" t="n"/>
      <c r="U18" s="3" t="n"/>
      <c r="V18" s="3" t="n"/>
      <c r="W18" s="3" t="n"/>
      <c r="X18" s="3" t="n"/>
      <c r="Y18" s="3">
        <f>IF($C18="","",R18+SUM(S18:X18))</f>
        <v/>
      </c>
      <c r="Z18" s="3">
        <f>IF($C18="","",IF(Y18&gt;=15,"да","нет"))</f>
        <v/>
      </c>
      <c r="AA18" s="3">
        <f>IF($C18="","",ROUND(Y18/3,1))</f>
        <v/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>
        <f>IF($C19="","",IF(D19="",0,IF(LOWER(TRIM(D19))=IF($C19="Б",Ключ!$C$2,Ключ!$B$2),1,0))+IF(E19="",0,IF(LOWER(TRIM(E19))=IF($C19="Б",Ключ!$C$3,Ключ!$B$3),1,0))+IF(F19="",0,IF(LOWER(TRIM(F19))=IF($C19="Б",Ключ!$C$4,Ключ!$B$4),1,0))+IF(G19="",0,IF(LOWER(TRIM(G19))=IF($C19="Б",Ключ!$C$5,Ключ!$B$5),1,0))+IF(H19="",0,IF(LOWER(TRIM(H19))=IF($C19="Б",Ключ!$C$6,Ключ!$B$6),1,0))+IF(I19="",0,IF(LOWER(TRIM(I19))=IF($C19="Б",Ключ!$C$7,Ключ!$B$7),1,0))+IF(J19="",0,IF(LOWER(TRIM(J19))=IF($C19="Б",Ключ!$C$8,Ключ!$B$8),1,0))+IF(K19="",0,IF(LOWER(TRIM(K19))=IF($C19="Б",Ключ!$C$9,Ключ!$B$9),1,0))+IF(L19="",0,IF(LOWER(TRIM(L19))=IF($C19="Б",Ключ!$C$10,Ключ!$B$10),1,0))+IF(M19="",0,IF(LOWER(TRIM(M19))=IF($C19="Б",Ключ!$C$11,Ключ!$B$11),1,0))+IF(N19="",0,IF(LOWER(TRIM(N19))=IF($C19="Б",Ключ!$C$12,Ключ!$B$12),1,0))+IF(O19="",0,IF(LOWER(TRIM(O19))=IF($C19="Б",Ключ!$C$13,Ключ!$B$13),1,0))+IF(P19="",0,IF(LOWER(TRIM(P19))=IF($C19="Б",Ключ!$C$14,Ключ!$B$14),1,0))+IF(Q19="",0,IF(LOWER(TRIM(Q19))=IF($C19="Б",Ключ!$C$15,Ключ!$B$15),1,0)))</f>
        <v/>
      </c>
      <c r="S19" s="3" t="n"/>
      <c r="T19" s="3" t="n"/>
      <c r="U19" s="3" t="n"/>
      <c r="V19" s="3" t="n"/>
      <c r="W19" s="3" t="n"/>
      <c r="X19" s="3" t="n"/>
      <c r="Y19" s="3">
        <f>IF($C19="","",R19+SUM(S19:X19))</f>
        <v/>
      </c>
      <c r="Z19" s="3">
        <f>IF($C19="","",IF(Y19&gt;=15,"да","нет"))</f>
        <v/>
      </c>
      <c r="AA19" s="3">
        <f>IF($C19="","",ROUND(Y19/3,1))</f>
        <v/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>
        <f>IF($C20="","",IF(D20="",0,IF(LOWER(TRIM(D20))=IF($C20="Б",Ключ!$C$2,Ключ!$B$2),1,0))+IF(E20="",0,IF(LOWER(TRIM(E20))=IF($C20="Б",Ключ!$C$3,Ключ!$B$3),1,0))+IF(F20="",0,IF(LOWER(TRIM(F20))=IF($C20="Б",Ключ!$C$4,Ключ!$B$4),1,0))+IF(G20="",0,IF(LOWER(TRIM(G20))=IF($C20="Б",Ключ!$C$5,Ключ!$B$5),1,0))+IF(H20="",0,IF(LOWER(TRIM(H20))=IF($C20="Б",Ключ!$C$6,Ключ!$B$6),1,0))+IF(I20="",0,IF(LOWER(TRIM(I20))=IF($C20="Б",Ключ!$C$7,Ключ!$B$7),1,0))+IF(J20="",0,IF(LOWER(TRIM(J20))=IF($C20="Б",Ключ!$C$8,Ключ!$B$8),1,0))+IF(K20="",0,IF(LOWER(TRIM(K20))=IF($C20="Б",Ключ!$C$9,Ключ!$B$9),1,0))+IF(L20="",0,IF(LOWER(TRIM(L20))=IF($C20="Б",Ключ!$C$10,Ключ!$B$10),1,0))+IF(M20="",0,IF(LOWER(TRIM(M20))=IF($C20="Б",Ключ!$C$11,Ключ!$B$11),1,0))+IF(N20="",0,IF(LOWER(TRIM(N20))=IF($C20="Б",Ключ!$C$12,Ключ!$B$12),1,0))+IF(O20="",0,IF(LOWER(TRIM(O20))=IF($C20="Б",Ключ!$C$13,Ключ!$B$13),1,0))+IF(P20="",0,IF(LOWER(TRIM(P20))=IF($C20="Б",Ключ!$C$14,Ключ!$B$14),1,0))+IF(Q20="",0,IF(LOWER(TRIM(Q20))=IF($C20="Б",Ключ!$C$15,Ключ!$B$15),1,0)))</f>
        <v/>
      </c>
      <c r="S20" s="3" t="n"/>
      <c r="T20" s="3" t="n"/>
      <c r="U20" s="3" t="n"/>
      <c r="V20" s="3" t="n"/>
      <c r="W20" s="3" t="n"/>
      <c r="X20" s="3" t="n"/>
      <c r="Y20" s="3">
        <f>IF($C20="","",R20+SUM(S20:X20))</f>
        <v/>
      </c>
      <c r="Z20" s="3">
        <f>IF($C20="","",IF(Y20&gt;=15,"да","нет"))</f>
        <v/>
      </c>
      <c r="AA20" s="3">
        <f>IF($C20="","",ROUND(Y20/3,1))</f>
        <v/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>
        <f>IF($C21="","",IF(D21="",0,IF(LOWER(TRIM(D21))=IF($C21="Б",Ключ!$C$2,Ключ!$B$2),1,0))+IF(E21="",0,IF(LOWER(TRIM(E21))=IF($C21="Б",Ключ!$C$3,Ключ!$B$3),1,0))+IF(F21="",0,IF(LOWER(TRIM(F21))=IF($C21="Б",Ключ!$C$4,Ключ!$B$4),1,0))+IF(G21="",0,IF(LOWER(TRIM(G21))=IF($C21="Б",Ключ!$C$5,Ключ!$B$5),1,0))+IF(H21="",0,IF(LOWER(TRIM(H21))=IF($C21="Б",Ключ!$C$6,Ключ!$B$6),1,0))+IF(I21="",0,IF(LOWER(TRIM(I21))=IF($C21="Б",Ключ!$C$7,Ключ!$B$7),1,0))+IF(J21="",0,IF(LOWER(TRIM(J21))=IF($C21="Б",Ключ!$C$8,Ключ!$B$8),1,0))+IF(K21="",0,IF(LOWER(TRIM(K21))=IF($C21="Б",Ключ!$C$9,Ключ!$B$9),1,0))+IF(L21="",0,IF(LOWER(TRIM(L21))=IF($C21="Б",Ключ!$C$10,Ключ!$B$10),1,0))+IF(M21="",0,IF(LOWER(TRIM(M21))=IF($C21="Б",Ключ!$C$11,Ключ!$B$11),1,0))+IF(N21="",0,IF(LOWER(TRIM(N21))=IF($C21="Б",Ключ!$C$12,Ключ!$B$12),1,0))+IF(O21="",0,IF(LOWER(TRIM(O21))=IF($C21="Б",Ключ!$C$13,Ключ!$B$13),1,0))+IF(P21="",0,IF(LOWER(TRIM(P21))=IF($C21="Б",Ключ!$C$14,Ключ!$B$14),1,0))+IF(Q21="",0,IF(LOWER(TRIM(Q21))=IF($C21="Б",Ключ!$C$15,Ключ!$B$15),1,0)))</f>
        <v/>
      </c>
      <c r="S21" s="3" t="n"/>
      <c r="T21" s="3" t="n"/>
      <c r="U21" s="3" t="n"/>
      <c r="V21" s="3" t="n"/>
      <c r="W21" s="3" t="n"/>
      <c r="X21" s="3" t="n"/>
      <c r="Y21" s="3">
        <f>IF($C21="","",R21+SUM(S21:X21))</f>
        <v/>
      </c>
      <c r="Z21" s="3">
        <f>IF($C21="","",IF(Y21&gt;=15,"да","нет"))</f>
        <v/>
      </c>
      <c r="AA21" s="3">
        <f>IF($C21="","",ROUND(Y21/3,1))</f>
        <v/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>
        <f>IF($C22="","",IF(D22="",0,IF(LOWER(TRIM(D22))=IF($C22="Б",Ключ!$C$2,Ключ!$B$2),1,0))+IF(E22="",0,IF(LOWER(TRIM(E22))=IF($C22="Б",Ключ!$C$3,Ключ!$B$3),1,0))+IF(F22="",0,IF(LOWER(TRIM(F22))=IF($C22="Б",Ключ!$C$4,Ключ!$B$4),1,0))+IF(G22="",0,IF(LOWER(TRIM(G22))=IF($C22="Б",Ключ!$C$5,Ключ!$B$5),1,0))+IF(H22="",0,IF(LOWER(TRIM(H22))=IF($C22="Б",Ключ!$C$6,Ключ!$B$6),1,0))+IF(I22="",0,IF(LOWER(TRIM(I22))=IF($C22="Б",Ключ!$C$7,Ключ!$B$7),1,0))+IF(J22="",0,IF(LOWER(TRIM(J22))=IF($C22="Б",Ключ!$C$8,Ключ!$B$8),1,0))+IF(K22="",0,IF(LOWER(TRIM(K22))=IF($C22="Б",Ключ!$C$9,Ключ!$B$9),1,0))+IF(L22="",0,IF(LOWER(TRIM(L22))=IF($C22="Б",Ключ!$C$10,Ключ!$B$10),1,0))+IF(M22="",0,IF(LOWER(TRIM(M22))=IF($C22="Б",Ключ!$C$11,Ключ!$B$11),1,0))+IF(N22="",0,IF(LOWER(TRIM(N22))=IF($C22="Б",Ключ!$C$12,Ключ!$B$12),1,0))+IF(O22="",0,IF(LOWER(TRIM(O22))=IF($C22="Б",Ключ!$C$13,Ключ!$B$13),1,0))+IF(P22="",0,IF(LOWER(TRIM(P22))=IF($C22="Б",Ключ!$C$14,Ключ!$B$14),1,0))+IF(Q22="",0,IF(LOWER(TRIM(Q22))=IF($C22="Б",Ключ!$C$15,Ключ!$B$15),1,0)))</f>
        <v/>
      </c>
      <c r="S22" s="3" t="n"/>
      <c r="T22" s="3" t="n"/>
      <c r="U22" s="3" t="n"/>
      <c r="V22" s="3" t="n"/>
      <c r="W22" s="3" t="n"/>
      <c r="X22" s="3" t="n"/>
      <c r="Y22" s="3">
        <f>IF($C22="","",R22+SUM(S22:X22))</f>
        <v/>
      </c>
      <c r="Z22" s="3">
        <f>IF($C22="","",IF(Y22&gt;=15,"да","нет"))</f>
        <v/>
      </c>
      <c r="AA22" s="3">
        <f>IF($C22="","",ROUND(Y22/3,1))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>
        <f>IF($C23="","",IF(D23="",0,IF(LOWER(TRIM(D23))=IF($C23="Б",Ключ!$C$2,Ключ!$B$2),1,0))+IF(E23="",0,IF(LOWER(TRIM(E23))=IF($C23="Б",Ключ!$C$3,Ключ!$B$3),1,0))+IF(F23="",0,IF(LOWER(TRIM(F23))=IF($C23="Б",Ключ!$C$4,Ключ!$B$4),1,0))+IF(G23="",0,IF(LOWER(TRIM(G23))=IF($C23="Б",Ключ!$C$5,Ключ!$B$5),1,0))+IF(H23="",0,IF(LOWER(TRIM(H23))=IF($C23="Б",Ключ!$C$6,Ключ!$B$6),1,0))+IF(I23="",0,IF(LOWER(TRIM(I23))=IF($C23="Б",Ключ!$C$7,Ключ!$B$7),1,0))+IF(J23="",0,IF(LOWER(TRIM(J23))=IF($C23="Б",Ключ!$C$8,Ключ!$B$8),1,0))+IF(K23="",0,IF(LOWER(TRIM(K23))=IF($C23="Б",Ключ!$C$9,Ключ!$B$9),1,0))+IF(L23="",0,IF(LOWER(TRIM(L23))=IF($C23="Б",Ключ!$C$10,Ключ!$B$10),1,0))+IF(M23="",0,IF(LOWER(TRIM(M23))=IF($C23="Б",Ключ!$C$11,Ключ!$B$11),1,0))+IF(N23="",0,IF(LOWER(TRIM(N23))=IF($C23="Б",Ключ!$C$12,Ключ!$B$12),1,0))+IF(O23="",0,IF(LOWER(TRIM(O23))=IF($C23="Б",Ключ!$C$13,Ключ!$B$13),1,0))+IF(P23="",0,IF(LOWER(TRIM(P23))=IF($C23="Б",Ключ!$C$14,Ключ!$B$14),1,0))+IF(Q23="",0,IF(LOWER(TRIM(Q23))=IF($C23="Б",Ключ!$C$15,Ключ!$B$15),1,0)))</f>
        <v/>
      </c>
      <c r="S23" s="3" t="n"/>
      <c r="T23" s="3" t="n"/>
      <c r="U23" s="3" t="n"/>
      <c r="V23" s="3" t="n"/>
      <c r="W23" s="3" t="n"/>
      <c r="X23" s="3" t="n"/>
      <c r="Y23" s="3">
        <f>IF($C23="","",R23+SUM(S23:X23))</f>
        <v/>
      </c>
      <c r="Z23" s="3">
        <f>IF($C23="","",IF(Y23&gt;=15,"да","нет"))</f>
        <v/>
      </c>
      <c r="AA23" s="3">
        <f>IF($C23="","",ROUND(Y23/3,1))</f>
        <v/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>
        <f>IF($C24="","",IF(D24="",0,IF(LOWER(TRIM(D24))=IF($C24="Б",Ключ!$C$2,Ключ!$B$2),1,0))+IF(E24="",0,IF(LOWER(TRIM(E24))=IF($C24="Б",Ключ!$C$3,Ключ!$B$3),1,0))+IF(F24="",0,IF(LOWER(TRIM(F24))=IF($C24="Б",Ключ!$C$4,Ключ!$B$4),1,0))+IF(G24="",0,IF(LOWER(TRIM(G24))=IF($C24="Б",Ключ!$C$5,Ключ!$B$5),1,0))+IF(H24="",0,IF(LOWER(TRIM(H24))=IF($C24="Б",Ключ!$C$6,Ключ!$B$6),1,0))+IF(I24="",0,IF(LOWER(TRIM(I24))=IF($C24="Б",Ключ!$C$7,Ключ!$B$7),1,0))+IF(J24="",0,IF(LOWER(TRIM(J24))=IF($C24="Б",Ключ!$C$8,Ключ!$B$8),1,0))+IF(K24="",0,IF(LOWER(TRIM(K24))=IF($C24="Б",Ключ!$C$9,Ключ!$B$9),1,0))+IF(L24="",0,IF(LOWER(TRIM(L24))=IF($C24="Б",Ключ!$C$10,Ключ!$B$10),1,0))+IF(M24="",0,IF(LOWER(TRIM(M24))=IF($C24="Б",Ключ!$C$11,Ключ!$B$11),1,0))+IF(N24="",0,IF(LOWER(TRIM(N24))=IF($C24="Б",Ключ!$C$12,Ключ!$B$12),1,0))+IF(O24="",0,IF(LOWER(TRIM(O24))=IF($C24="Б",Ключ!$C$13,Ключ!$B$13),1,0))+IF(P24="",0,IF(LOWER(TRIM(P24))=IF($C24="Б",Ключ!$C$14,Ключ!$B$14),1,0))+IF(Q24="",0,IF(LOWER(TRIM(Q24))=IF($C24="Б",Ключ!$C$15,Ключ!$B$15),1,0)))</f>
        <v/>
      </c>
      <c r="S24" s="3" t="n"/>
      <c r="T24" s="3" t="n"/>
      <c r="U24" s="3" t="n"/>
      <c r="V24" s="3" t="n"/>
      <c r="W24" s="3" t="n"/>
      <c r="X24" s="3" t="n"/>
      <c r="Y24" s="3">
        <f>IF($C24="","",R24+SUM(S24:X24))</f>
        <v/>
      </c>
      <c r="Z24" s="3">
        <f>IF($C24="","",IF(Y24&gt;=15,"да","нет"))</f>
        <v/>
      </c>
      <c r="AA24" s="3">
        <f>IF($C24="","",ROUND(Y24/3,1))</f>
        <v/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>
        <f>IF($C25="","",IF(D25="",0,IF(LOWER(TRIM(D25))=IF($C25="Б",Ключ!$C$2,Ключ!$B$2),1,0))+IF(E25="",0,IF(LOWER(TRIM(E25))=IF($C25="Б",Ключ!$C$3,Ключ!$B$3),1,0))+IF(F25="",0,IF(LOWER(TRIM(F25))=IF($C25="Б",Ключ!$C$4,Ключ!$B$4),1,0))+IF(G25="",0,IF(LOWER(TRIM(G25))=IF($C25="Б",Ключ!$C$5,Ключ!$B$5),1,0))+IF(H25="",0,IF(LOWER(TRIM(H25))=IF($C25="Б",Ключ!$C$6,Ключ!$B$6),1,0))+IF(I25="",0,IF(LOWER(TRIM(I25))=IF($C25="Б",Ключ!$C$7,Ключ!$B$7),1,0))+IF(J25="",0,IF(LOWER(TRIM(J25))=IF($C25="Б",Ключ!$C$8,Ключ!$B$8),1,0))+IF(K25="",0,IF(LOWER(TRIM(K25))=IF($C25="Б",Ключ!$C$9,Ключ!$B$9),1,0))+IF(L25="",0,IF(LOWER(TRIM(L25))=IF($C25="Б",Ключ!$C$10,Ключ!$B$10),1,0))+IF(M25="",0,IF(LOWER(TRIM(M25))=IF($C25="Б",Ключ!$C$11,Ключ!$B$11),1,0))+IF(N25="",0,IF(LOWER(TRIM(N25))=IF($C25="Б",Ключ!$C$12,Ключ!$B$12),1,0))+IF(O25="",0,IF(LOWER(TRIM(O25))=IF($C25="Б",Ключ!$C$13,Ключ!$B$13),1,0))+IF(P25="",0,IF(LOWER(TRIM(P25))=IF($C25="Б",Ключ!$C$14,Ключ!$B$14),1,0))+IF(Q25="",0,IF(LOWER(TRIM(Q25))=IF($C25="Б",Ключ!$C$15,Ключ!$B$15),1,0)))</f>
        <v/>
      </c>
      <c r="S25" s="3" t="n"/>
      <c r="T25" s="3" t="n"/>
      <c r="U25" s="3" t="n"/>
      <c r="V25" s="3" t="n"/>
      <c r="W25" s="3" t="n"/>
      <c r="X25" s="3" t="n"/>
      <c r="Y25" s="3">
        <f>IF($C25="","",R25+SUM(S25:X25))</f>
        <v/>
      </c>
      <c r="Z25" s="3">
        <f>IF($C25="","",IF(Y25&gt;=15,"да","нет"))</f>
        <v/>
      </c>
      <c r="AA25" s="3">
        <f>IF($C25="","",ROUND(Y25/3,1))</f>
        <v/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>
        <f>IF($C26="","",IF(D26="",0,IF(LOWER(TRIM(D26))=IF($C26="Б",Ключ!$C$2,Ключ!$B$2),1,0))+IF(E26="",0,IF(LOWER(TRIM(E26))=IF($C26="Б",Ключ!$C$3,Ключ!$B$3),1,0))+IF(F26="",0,IF(LOWER(TRIM(F26))=IF($C26="Б",Ключ!$C$4,Ключ!$B$4),1,0))+IF(G26="",0,IF(LOWER(TRIM(G26))=IF($C26="Б",Ключ!$C$5,Ключ!$B$5),1,0))+IF(H26="",0,IF(LOWER(TRIM(H26))=IF($C26="Б",Ключ!$C$6,Ключ!$B$6),1,0))+IF(I26="",0,IF(LOWER(TRIM(I26))=IF($C26="Б",Ключ!$C$7,Ключ!$B$7),1,0))+IF(J26="",0,IF(LOWER(TRIM(J26))=IF($C26="Б",Ключ!$C$8,Ключ!$B$8),1,0))+IF(K26="",0,IF(LOWER(TRIM(K26))=IF($C26="Б",Ключ!$C$9,Ключ!$B$9),1,0))+IF(L26="",0,IF(LOWER(TRIM(L26))=IF($C26="Б",Ключ!$C$10,Ключ!$B$10),1,0))+IF(M26="",0,IF(LOWER(TRIM(M26))=IF($C26="Б",Ключ!$C$11,Ключ!$B$11),1,0))+IF(N26="",0,IF(LOWER(TRIM(N26))=IF($C26="Б",Ключ!$C$12,Ключ!$B$12),1,0))+IF(O26="",0,IF(LOWER(TRIM(O26))=IF($C26="Б",Ключ!$C$13,Ключ!$B$13),1,0))+IF(P26="",0,IF(LOWER(TRIM(P26))=IF($C26="Б",Ключ!$C$14,Ключ!$B$14),1,0))+IF(Q26="",0,IF(LOWER(TRIM(Q26))=IF($C26="Б",Ключ!$C$15,Ключ!$B$15),1,0)))</f>
        <v/>
      </c>
      <c r="S26" s="3" t="n"/>
      <c r="T26" s="3" t="n"/>
      <c r="U26" s="3" t="n"/>
      <c r="V26" s="3" t="n"/>
      <c r="W26" s="3" t="n"/>
      <c r="X26" s="3" t="n"/>
      <c r="Y26" s="3">
        <f>IF($C26="","",R26+SUM(S26:X26))</f>
        <v/>
      </c>
      <c r="Z26" s="3">
        <f>IF($C26="","",IF(Y26&gt;=15,"да","нет"))</f>
        <v/>
      </c>
      <c r="AA26" s="3">
        <f>IF($C26="","",ROUND(Y26/3,1))</f>
        <v/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>
        <f>IF($C27="","",IF(D27="",0,IF(LOWER(TRIM(D27))=IF($C27="Б",Ключ!$C$2,Ключ!$B$2),1,0))+IF(E27="",0,IF(LOWER(TRIM(E27))=IF($C27="Б",Ключ!$C$3,Ключ!$B$3),1,0))+IF(F27="",0,IF(LOWER(TRIM(F27))=IF($C27="Б",Ключ!$C$4,Ключ!$B$4),1,0))+IF(G27="",0,IF(LOWER(TRIM(G27))=IF($C27="Б",Ключ!$C$5,Ключ!$B$5),1,0))+IF(H27="",0,IF(LOWER(TRIM(H27))=IF($C27="Б",Ключ!$C$6,Ключ!$B$6),1,0))+IF(I27="",0,IF(LOWER(TRIM(I27))=IF($C27="Б",Ключ!$C$7,Ключ!$B$7),1,0))+IF(J27="",0,IF(LOWER(TRIM(J27))=IF($C27="Б",Ключ!$C$8,Ключ!$B$8),1,0))+IF(K27="",0,IF(LOWER(TRIM(K27))=IF($C27="Б",Ключ!$C$9,Ключ!$B$9),1,0))+IF(L27="",0,IF(LOWER(TRIM(L27))=IF($C27="Б",Ключ!$C$10,Ключ!$B$10),1,0))+IF(M27="",0,IF(LOWER(TRIM(M27))=IF($C27="Б",Ключ!$C$11,Ключ!$B$11),1,0))+IF(N27="",0,IF(LOWER(TRIM(N27))=IF($C27="Б",Ключ!$C$12,Ключ!$B$12),1,0))+IF(O27="",0,IF(LOWER(TRIM(O27))=IF($C27="Б",Ключ!$C$13,Ключ!$B$13),1,0))+IF(P27="",0,IF(LOWER(TRIM(P27))=IF($C27="Б",Ключ!$C$14,Ключ!$B$14),1,0))+IF(Q27="",0,IF(LOWER(TRIM(Q27))=IF($C27="Б",Ключ!$C$15,Ключ!$B$15),1,0)))</f>
        <v/>
      </c>
      <c r="S27" s="3" t="n"/>
      <c r="T27" s="3" t="n"/>
      <c r="U27" s="3" t="n"/>
      <c r="V27" s="3" t="n"/>
      <c r="W27" s="3" t="n"/>
      <c r="X27" s="3" t="n"/>
      <c r="Y27" s="3">
        <f>IF($C27="","",R27+SUM(S27:X27))</f>
        <v/>
      </c>
      <c r="Z27" s="3">
        <f>IF($C27="","",IF(Y27&gt;=15,"да","нет"))</f>
        <v/>
      </c>
      <c r="AA27" s="3">
        <f>IF($C27="","",ROUND(Y27/3,1))</f>
        <v/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>
        <f>IF($C28="","",IF(D28="",0,IF(LOWER(TRIM(D28))=IF($C28="Б",Ключ!$C$2,Ключ!$B$2),1,0))+IF(E28="",0,IF(LOWER(TRIM(E28))=IF($C28="Б",Ключ!$C$3,Ключ!$B$3),1,0))+IF(F28="",0,IF(LOWER(TRIM(F28))=IF($C28="Б",Ключ!$C$4,Ключ!$B$4),1,0))+IF(G28="",0,IF(LOWER(TRIM(G28))=IF($C28="Б",Ключ!$C$5,Ключ!$B$5),1,0))+IF(H28="",0,IF(LOWER(TRIM(H28))=IF($C28="Б",Ключ!$C$6,Ключ!$B$6),1,0))+IF(I28="",0,IF(LOWER(TRIM(I28))=IF($C28="Б",Ключ!$C$7,Ключ!$B$7),1,0))+IF(J28="",0,IF(LOWER(TRIM(J28))=IF($C28="Б",Ключ!$C$8,Ключ!$B$8),1,0))+IF(K28="",0,IF(LOWER(TRIM(K28))=IF($C28="Б",Ключ!$C$9,Ключ!$B$9),1,0))+IF(L28="",0,IF(LOWER(TRIM(L28))=IF($C28="Б",Ключ!$C$10,Ключ!$B$10),1,0))+IF(M28="",0,IF(LOWER(TRIM(M28))=IF($C28="Б",Ключ!$C$11,Ключ!$B$11),1,0))+IF(N28="",0,IF(LOWER(TRIM(N28))=IF($C28="Б",Ключ!$C$12,Ключ!$B$12),1,0))+IF(O28="",0,IF(LOWER(TRIM(O28))=IF($C28="Б",Ключ!$C$13,Ключ!$B$13),1,0))+IF(P28="",0,IF(LOWER(TRIM(P28))=IF($C28="Б",Ключ!$C$14,Ключ!$B$14),1,0))+IF(Q28="",0,IF(LOWER(TRIM(Q28))=IF($C28="Б",Ключ!$C$15,Ключ!$B$15),1,0)))</f>
        <v/>
      </c>
      <c r="S28" s="3" t="n"/>
      <c r="T28" s="3" t="n"/>
      <c r="U28" s="3" t="n"/>
      <c r="V28" s="3" t="n"/>
      <c r="W28" s="3" t="n"/>
      <c r="X28" s="3" t="n"/>
      <c r="Y28" s="3">
        <f>IF($C28="","",R28+SUM(S28:X28))</f>
        <v/>
      </c>
      <c r="Z28" s="3">
        <f>IF($C28="","",IF(Y28&gt;=15,"да","нет"))</f>
        <v/>
      </c>
      <c r="AA28" s="3">
        <f>IF($C28="","",ROUND(Y28/3,1))</f>
        <v/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>
        <f>IF($C29="","",IF(D29="",0,IF(LOWER(TRIM(D29))=IF($C29="Б",Ключ!$C$2,Ключ!$B$2),1,0))+IF(E29="",0,IF(LOWER(TRIM(E29))=IF($C29="Б",Ключ!$C$3,Ключ!$B$3),1,0))+IF(F29="",0,IF(LOWER(TRIM(F29))=IF($C29="Б",Ключ!$C$4,Ключ!$B$4),1,0))+IF(G29="",0,IF(LOWER(TRIM(G29))=IF($C29="Б",Ключ!$C$5,Ключ!$B$5),1,0))+IF(H29="",0,IF(LOWER(TRIM(H29))=IF($C29="Б",Ключ!$C$6,Ключ!$B$6),1,0))+IF(I29="",0,IF(LOWER(TRIM(I29))=IF($C29="Б",Ключ!$C$7,Ключ!$B$7),1,0))+IF(J29="",0,IF(LOWER(TRIM(J29))=IF($C29="Б",Ключ!$C$8,Ключ!$B$8),1,0))+IF(K29="",0,IF(LOWER(TRIM(K29))=IF($C29="Б",Ключ!$C$9,Ключ!$B$9),1,0))+IF(L29="",0,IF(LOWER(TRIM(L29))=IF($C29="Б",Ключ!$C$10,Ключ!$B$10),1,0))+IF(M29="",0,IF(LOWER(TRIM(M29))=IF($C29="Б",Ключ!$C$11,Ключ!$B$11),1,0))+IF(N29="",0,IF(LOWER(TRIM(N29))=IF($C29="Б",Ключ!$C$12,Ключ!$B$12),1,0))+IF(O29="",0,IF(LOWER(TRIM(O29))=IF($C29="Б",Ключ!$C$13,Ключ!$B$13),1,0))+IF(P29="",0,IF(LOWER(TRIM(P29))=IF($C29="Б",Ключ!$C$14,Ключ!$B$14),1,0))+IF(Q29="",0,IF(LOWER(TRIM(Q29))=IF($C29="Б",Ключ!$C$15,Ключ!$B$15),1,0)))</f>
        <v/>
      </c>
      <c r="S29" s="3" t="n"/>
      <c r="T29" s="3" t="n"/>
      <c r="U29" s="3" t="n"/>
      <c r="V29" s="3" t="n"/>
      <c r="W29" s="3" t="n"/>
      <c r="X29" s="3" t="n"/>
      <c r="Y29" s="3">
        <f>IF($C29="","",R29+SUM(S29:X29))</f>
        <v/>
      </c>
      <c r="Z29" s="3">
        <f>IF($C29="","",IF(Y29&gt;=15,"да","нет"))</f>
        <v/>
      </c>
      <c r="AA29" s="3">
        <f>IF($C29="","",ROUND(Y29/3,1))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>
        <f>IF($C30="","",IF(D30="",0,IF(LOWER(TRIM(D30))=IF($C30="Б",Ключ!$C$2,Ключ!$B$2),1,0))+IF(E30="",0,IF(LOWER(TRIM(E30))=IF($C30="Б",Ключ!$C$3,Ключ!$B$3),1,0))+IF(F30="",0,IF(LOWER(TRIM(F30))=IF($C30="Б",Ключ!$C$4,Ключ!$B$4),1,0))+IF(G30="",0,IF(LOWER(TRIM(G30))=IF($C30="Б",Ключ!$C$5,Ключ!$B$5),1,0))+IF(H30="",0,IF(LOWER(TRIM(H30))=IF($C30="Б",Ключ!$C$6,Ключ!$B$6),1,0))+IF(I30="",0,IF(LOWER(TRIM(I30))=IF($C30="Б",Ключ!$C$7,Ключ!$B$7),1,0))+IF(J30="",0,IF(LOWER(TRIM(J30))=IF($C30="Б",Ключ!$C$8,Ключ!$B$8),1,0))+IF(K30="",0,IF(LOWER(TRIM(K30))=IF($C30="Б",Ключ!$C$9,Ключ!$B$9),1,0))+IF(L30="",0,IF(LOWER(TRIM(L30))=IF($C30="Б",Ключ!$C$10,Ключ!$B$10),1,0))+IF(M30="",0,IF(LOWER(TRIM(M30))=IF($C30="Б",Ключ!$C$11,Ключ!$B$11),1,0))+IF(N30="",0,IF(LOWER(TRIM(N30))=IF($C30="Б",Ключ!$C$12,Ключ!$B$12),1,0))+IF(O30="",0,IF(LOWER(TRIM(O30))=IF($C30="Б",Ключ!$C$13,Ключ!$B$13),1,0))+IF(P30="",0,IF(LOWER(TRIM(P30))=IF($C30="Б",Ключ!$C$14,Ключ!$B$14),1,0))+IF(Q30="",0,IF(LOWER(TRIM(Q30))=IF($C30="Б",Ключ!$C$15,Ключ!$B$15),1,0)))</f>
        <v/>
      </c>
      <c r="S30" s="3" t="n"/>
      <c r="T30" s="3" t="n"/>
      <c r="U30" s="3" t="n"/>
      <c r="V30" s="3" t="n"/>
      <c r="W30" s="3" t="n"/>
      <c r="X30" s="3" t="n"/>
      <c r="Y30" s="3">
        <f>IF($C30="","",R30+SUM(S30:X30))</f>
        <v/>
      </c>
      <c r="Z30" s="3">
        <f>IF($C30="","",IF(Y30&gt;=15,"да","нет"))</f>
        <v/>
      </c>
      <c r="AA30" s="3">
        <f>IF($C30="","",ROUND(Y30/3,1))</f>
        <v/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>
        <f>IF($C31="","",IF(D31="",0,IF(LOWER(TRIM(D31))=IF($C31="Б",Ключ!$C$2,Ключ!$B$2),1,0))+IF(E31="",0,IF(LOWER(TRIM(E31))=IF($C31="Б",Ключ!$C$3,Ключ!$B$3),1,0))+IF(F31="",0,IF(LOWER(TRIM(F31))=IF($C31="Б",Ключ!$C$4,Ключ!$B$4),1,0))+IF(G31="",0,IF(LOWER(TRIM(G31))=IF($C31="Б",Ключ!$C$5,Ключ!$B$5),1,0))+IF(H31="",0,IF(LOWER(TRIM(H31))=IF($C31="Б",Ключ!$C$6,Ключ!$B$6),1,0))+IF(I31="",0,IF(LOWER(TRIM(I31))=IF($C31="Б",Ключ!$C$7,Ключ!$B$7),1,0))+IF(J31="",0,IF(LOWER(TRIM(J31))=IF($C31="Б",Ключ!$C$8,Ключ!$B$8),1,0))+IF(K31="",0,IF(LOWER(TRIM(K31))=IF($C31="Б",Ключ!$C$9,Ключ!$B$9),1,0))+IF(L31="",0,IF(LOWER(TRIM(L31))=IF($C31="Б",Ключ!$C$10,Ключ!$B$10),1,0))+IF(M31="",0,IF(LOWER(TRIM(M31))=IF($C31="Б",Ключ!$C$11,Ключ!$B$11),1,0))+IF(N31="",0,IF(LOWER(TRIM(N31))=IF($C31="Б",Ключ!$C$12,Ключ!$B$12),1,0))+IF(O31="",0,IF(LOWER(TRIM(O31))=IF($C31="Б",Ключ!$C$13,Ключ!$B$13),1,0))+IF(P31="",0,IF(LOWER(TRIM(P31))=IF($C31="Б",Ключ!$C$14,Ключ!$B$14),1,0))+IF(Q31="",0,IF(LOWER(TRIM(Q31))=IF($C31="Б",Ключ!$C$15,Ключ!$B$15),1,0)))</f>
        <v/>
      </c>
      <c r="S31" s="3" t="n"/>
      <c r="T31" s="3" t="n"/>
      <c r="U31" s="3" t="n"/>
      <c r="V31" s="3" t="n"/>
      <c r="W31" s="3" t="n"/>
      <c r="X31" s="3" t="n"/>
      <c r="Y31" s="3">
        <f>IF($C31="","",R31+SUM(S31:X31))</f>
        <v/>
      </c>
      <c r="Z31" s="3">
        <f>IF($C31="","",IF(Y31&gt;=15,"да","нет"))</f>
        <v/>
      </c>
      <c r="AA31" s="3">
        <f>IF($C31="","",ROUND(Y31/3,1))</f>
        <v/>
      </c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>
        <f>IF($C32="","",IF(D32="",0,IF(LOWER(TRIM(D32))=IF($C32="Б",Ключ!$C$2,Ключ!$B$2),1,0))+IF(E32="",0,IF(LOWER(TRIM(E32))=IF($C32="Б",Ключ!$C$3,Ключ!$B$3),1,0))+IF(F32="",0,IF(LOWER(TRIM(F32))=IF($C32="Б",Ключ!$C$4,Ключ!$B$4),1,0))+IF(G32="",0,IF(LOWER(TRIM(G32))=IF($C32="Б",Ключ!$C$5,Ключ!$B$5),1,0))+IF(H32="",0,IF(LOWER(TRIM(H32))=IF($C32="Б",Ключ!$C$6,Ключ!$B$6),1,0))+IF(I32="",0,IF(LOWER(TRIM(I32))=IF($C32="Б",Ключ!$C$7,Ключ!$B$7),1,0))+IF(J32="",0,IF(LOWER(TRIM(J32))=IF($C32="Б",Ключ!$C$8,Ключ!$B$8),1,0))+IF(K32="",0,IF(LOWER(TRIM(K32))=IF($C32="Б",Ключ!$C$9,Ключ!$B$9),1,0))+IF(L32="",0,IF(LOWER(TRIM(L32))=IF($C32="Б",Ключ!$C$10,Ключ!$B$10),1,0))+IF(M32="",0,IF(LOWER(TRIM(M32))=IF($C32="Б",Ключ!$C$11,Ключ!$B$11),1,0))+IF(N32="",0,IF(LOWER(TRIM(N32))=IF($C32="Б",Ключ!$C$12,Ключ!$B$12),1,0))+IF(O32="",0,IF(LOWER(TRIM(O32))=IF($C32="Б",Ключ!$C$13,Ключ!$B$13),1,0))+IF(P32="",0,IF(LOWER(TRIM(P32))=IF($C32="Б",Ключ!$C$14,Ключ!$B$14),1,0))+IF(Q32="",0,IF(LOWER(TRIM(Q32))=IF($C32="Б",Ключ!$C$15,Ключ!$B$15),1,0)))</f>
        <v/>
      </c>
      <c r="S32" s="3" t="n"/>
      <c r="T32" s="3" t="n"/>
      <c r="U32" s="3" t="n"/>
      <c r="V32" s="3" t="n"/>
      <c r="W32" s="3" t="n"/>
      <c r="X32" s="3" t="n"/>
      <c r="Y32" s="3">
        <f>IF($C32="","",R32+SUM(S32:X32))</f>
        <v/>
      </c>
      <c r="Z32" s="3">
        <f>IF($C32="","",IF(Y32&gt;=15,"да","нет"))</f>
        <v/>
      </c>
      <c r="AA32" s="3">
        <f>IF($C32="","",ROUND(Y32/3,1))</f>
        <v/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>
        <f>IF($C33="","",IF(D33="",0,IF(LOWER(TRIM(D33))=IF($C33="Б",Ключ!$C$2,Ключ!$B$2),1,0))+IF(E33="",0,IF(LOWER(TRIM(E33))=IF($C33="Б",Ключ!$C$3,Ключ!$B$3),1,0))+IF(F33="",0,IF(LOWER(TRIM(F33))=IF($C33="Б",Ключ!$C$4,Ключ!$B$4),1,0))+IF(G33="",0,IF(LOWER(TRIM(G33))=IF($C33="Б",Ключ!$C$5,Ключ!$B$5),1,0))+IF(H33="",0,IF(LOWER(TRIM(H33))=IF($C33="Б",Ключ!$C$6,Ключ!$B$6),1,0))+IF(I33="",0,IF(LOWER(TRIM(I33))=IF($C33="Б",Ключ!$C$7,Ключ!$B$7),1,0))+IF(J33="",0,IF(LOWER(TRIM(J33))=IF($C33="Б",Ключ!$C$8,Ключ!$B$8),1,0))+IF(K33="",0,IF(LOWER(TRIM(K33))=IF($C33="Б",Ключ!$C$9,Ключ!$B$9),1,0))+IF(L33="",0,IF(LOWER(TRIM(L33))=IF($C33="Б",Ключ!$C$10,Ключ!$B$10),1,0))+IF(M33="",0,IF(LOWER(TRIM(M33))=IF($C33="Б",Ключ!$C$11,Ключ!$B$11),1,0))+IF(N33="",0,IF(LOWER(TRIM(N33))=IF($C33="Б",Ключ!$C$12,Ключ!$B$12),1,0))+IF(O33="",0,IF(LOWER(TRIM(O33))=IF($C33="Б",Ключ!$C$13,Ключ!$B$13),1,0))+IF(P33="",0,IF(LOWER(TRIM(P33))=IF($C33="Б",Ключ!$C$14,Ключ!$B$14),1,0))+IF(Q33="",0,IF(LOWER(TRIM(Q33))=IF($C33="Б",Ключ!$C$15,Ключ!$B$15),1,0)))</f>
        <v/>
      </c>
      <c r="S33" s="3" t="n"/>
      <c r="T33" s="3" t="n"/>
      <c r="U33" s="3" t="n"/>
      <c r="V33" s="3" t="n"/>
      <c r="W33" s="3" t="n"/>
      <c r="X33" s="3" t="n"/>
      <c r="Y33" s="3">
        <f>IF($C33="","",R33+SUM(S33:X33))</f>
        <v/>
      </c>
      <c r="Z33" s="3">
        <f>IF($C33="","",IF(Y33&gt;=15,"да","нет"))</f>
        <v/>
      </c>
      <c r="AA33" s="3">
        <f>IF($C33="","",ROUND(Y33/3,1))</f>
        <v/>
      </c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>
        <f>IF($C34="","",IF(D34="",0,IF(LOWER(TRIM(D34))=IF($C34="Б",Ключ!$C$2,Ключ!$B$2),1,0))+IF(E34="",0,IF(LOWER(TRIM(E34))=IF($C34="Б",Ключ!$C$3,Ключ!$B$3),1,0))+IF(F34="",0,IF(LOWER(TRIM(F34))=IF($C34="Б",Ключ!$C$4,Ключ!$B$4),1,0))+IF(G34="",0,IF(LOWER(TRIM(G34))=IF($C34="Б",Ключ!$C$5,Ключ!$B$5),1,0))+IF(H34="",0,IF(LOWER(TRIM(H34))=IF($C34="Б",Ключ!$C$6,Ключ!$B$6),1,0))+IF(I34="",0,IF(LOWER(TRIM(I34))=IF($C34="Б",Ключ!$C$7,Ключ!$B$7),1,0))+IF(J34="",0,IF(LOWER(TRIM(J34))=IF($C34="Б",Ключ!$C$8,Ключ!$B$8),1,0))+IF(K34="",0,IF(LOWER(TRIM(K34))=IF($C34="Б",Ключ!$C$9,Ключ!$B$9),1,0))+IF(L34="",0,IF(LOWER(TRIM(L34))=IF($C34="Б",Ключ!$C$10,Ключ!$B$10),1,0))+IF(M34="",0,IF(LOWER(TRIM(M34))=IF($C34="Б",Ключ!$C$11,Ключ!$B$11),1,0))+IF(N34="",0,IF(LOWER(TRIM(N34))=IF($C34="Б",Ключ!$C$12,Ключ!$B$12),1,0))+IF(O34="",0,IF(LOWER(TRIM(O34))=IF($C34="Б",Ключ!$C$13,Ключ!$B$13),1,0))+IF(P34="",0,IF(LOWER(TRIM(P34))=IF($C34="Б",Ключ!$C$14,Ключ!$B$14),1,0))+IF(Q34="",0,IF(LOWER(TRIM(Q34))=IF($C34="Б",Ключ!$C$15,Ключ!$B$15),1,0)))</f>
        <v/>
      </c>
      <c r="S34" s="3" t="n"/>
      <c r="T34" s="3" t="n"/>
      <c r="U34" s="3" t="n"/>
      <c r="V34" s="3" t="n"/>
      <c r="W34" s="3" t="n"/>
      <c r="X34" s="3" t="n"/>
      <c r="Y34" s="3">
        <f>IF($C34="","",R34+SUM(S34:X34))</f>
        <v/>
      </c>
      <c r="Z34" s="3">
        <f>IF($C34="","",IF(Y34&gt;=15,"да","нет"))</f>
        <v/>
      </c>
      <c r="AA34" s="3">
        <f>IF($C34="","",ROUND(Y34/3,1))</f>
        <v/>
      </c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>
        <f>IF($C35="","",IF(D35="",0,IF(LOWER(TRIM(D35))=IF($C35="Б",Ключ!$C$2,Ключ!$B$2),1,0))+IF(E35="",0,IF(LOWER(TRIM(E35))=IF($C35="Б",Ключ!$C$3,Ключ!$B$3),1,0))+IF(F35="",0,IF(LOWER(TRIM(F35))=IF($C35="Б",Ключ!$C$4,Ключ!$B$4),1,0))+IF(G35="",0,IF(LOWER(TRIM(G35))=IF($C35="Б",Ключ!$C$5,Ключ!$B$5),1,0))+IF(H35="",0,IF(LOWER(TRIM(H35))=IF($C35="Б",Ключ!$C$6,Ключ!$B$6),1,0))+IF(I35="",0,IF(LOWER(TRIM(I35))=IF($C35="Б",Ключ!$C$7,Ключ!$B$7),1,0))+IF(J35="",0,IF(LOWER(TRIM(J35))=IF($C35="Б",Ключ!$C$8,Ключ!$B$8),1,0))+IF(K35="",0,IF(LOWER(TRIM(K35))=IF($C35="Б",Ключ!$C$9,Ключ!$B$9),1,0))+IF(L35="",0,IF(LOWER(TRIM(L35))=IF($C35="Б",Ключ!$C$10,Ключ!$B$10),1,0))+IF(M35="",0,IF(LOWER(TRIM(M35))=IF($C35="Б",Ключ!$C$11,Ключ!$B$11),1,0))+IF(N35="",0,IF(LOWER(TRIM(N35))=IF($C35="Б",Ключ!$C$12,Ключ!$B$12),1,0))+IF(O35="",0,IF(LOWER(TRIM(O35))=IF($C35="Б",Ключ!$C$13,Ключ!$B$13),1,0))+IF(P35="",0,IF(LOWER(TRIM(P35))=IF($C35="Б",Ключ!$C$14,Ключ!$B$14),1,0))+IF(Q35="",0,IF(LOWER(TRIM(Q35))=IF($C35="Б",Ключ!$C$15,Ключ!$B$15),1,0)))</f>
        <v/>
      </c>
      <c r="S35" s="3" t="n"/>
      <c r="T35" s="3" t="n"/>
      <c r="U35" s="3" t="n"/>
      <c r="V35" s="3" t="n"/>
      <c r="W35" s="3" t="n"/>
      <c r="X35" s="3" t="n"/>
      <c r="Y35" s="3">
        <f>IF($C35="","",R35+SUM(S35:X35))</f>
        <v/>
      </c>
      <c r="Z35" s="3">
        <f>IF($C35="","",IF(Y35&gt;=15,"да","нет"))</f>
        <v/>
      </c>
      <c r="AA35" s="3">
        <f>IF($C35="","",ROUND(Y35/3,1))</f>
        <v/>
      </c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>
        <f>IF($C36="","",IF(D36="",0,IF(LOWER(TRIM(D36))=IF($C36="Б",Ключ!$C$2,Ключ!$B$2),1,0))+IF(E36="",0,IF(LOWER(TRIM(E36))=IF($C36="Б",Ключ!$C$3,Ключ!$B$3),1,0))+IF(F36="",0,IF(LOWER(TRIM(F36))=IF($C36="Б",Ключ!$C$4,Ключ!$B$4),1,0))+IF(G36="",0,IF(LOWER(TRIM(G36))=IF($C36="Б",Ключ!$C$5,Ключ!$B$5),1,0))+IF(H36="",0,IF(LOWER(TRIM(H36))=IF($C36="Б",Ключ!$C$6,Ключ!$B$6),1,0))+IF(I36="",0,IF(LOWER(TRIM(I36))=IF($C36="Б",Ключ!$C$7,Ключ!$B$7),1,0))+IF(J36="",0,IF(LOWER(TRIM(J36))=IF($C36="Б",Ключ!$C$8,Ключ!$B$8),1,0))+IF(K36="",0,IF(LOWER(TRIM(K36))=IF($C36="Б",Ключ!$C$9,Ключ!$B$9),1,0))+IF(L36="",0,IF(LOWER(TRIM(L36))=IF($C36="Б",Ключ!$C$10,Ключ!$B$10),1,0))+IF(M36="",0,IF(LOWER(TRIM(M36))=IF($C36="Б",Ключ!$C$11,Ключ!$B$11),1,0))+IF(N36="",0,IF(LOWER(TRIM(N36))=IF($C36="Б",Ключ!$C$12,Ключ!$B$12),1,0))+IF(O36="",0,IF(LOWER(TRIM(O36))=IF($C36="Б",Ключ!$C$13,Ключ!$B$13),1,0))+IF(P36="",0,IF(LOWER(TRIM(P36))=IF($C36="Б",Ключ!$C$14,Ключ!$B$14),1,0))+IF(Q36="",0,IF(LOWER(TRIM(Q36))=IF($C36="Б",Ключ!$C$15,Ключ!$B$15),1,0)))</f>
        <v/>
      </c>
      <c r="S36" s="3" t="n"/>
      <c r="T36" s="3" t="n"/>
      <c r="U36" s="3" t="n"/>
      <c r="V36" s="3" t="n"/>
      <c r="W36" s="3" t="n"/>
      <c r="X36" s="3" t="n"/>
      <c r="Y36" s="3">
        <f>IF($C36="","",R36+SUM(S36:X36))</f>
        <v/>
      </c>
      <c r="Z36" s="3">
        <f>IF($C36="","",IF(Y36&gt;=15,"да","нет"))</f>
        <v/>
      </c>
      <c r="AA36" s="3">
        <f>IF($C36="","",ROUND(Y36/3,1))</f>
        <v/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>
        <f>IF($C37="","",IF(D37="",0,IF(LOWER(TRIM(D37))=IF($C37="Б",Ключ!$C$2,Ключ!$B$2),1,0))+IF(E37="",0,IF(LOWER(TRIM(E37))=IF($C37="Б",Ключ!$C$3,Ключ!$B$3),1,0))+IF(F37="",0,IF(LOWER(TRIM(F37))=IF($C37="Б",Ключ!$C$4,Ключ!$B$4),1,0))+IF(G37="",0,IF(LOWER(TRIM(G37))=IF($C37="Б",Ключ!$C$5,Ключ!$B$5),1,0))+IF(H37="",0,IF(LOWER(TRIM(H37))=IF($C37="Б",Ключ!$C$6,Ключ!$B$6),1,0))+IF(I37="",0,IF(LOWER(TRIM(I37))=IF($C37="Б",Ключ!$C$7,Ключ!$B$7),1,0))+IF(J37="",0,IF(LOWER(TRIM(J37))=IF($C37="Б",Ключ!$C$8,Ключ!$B$8),1,0))+IF(K37="",0,IF(LOWER(TRIM(K37))=IF($C37="Б",Ключ!$C$9,Ключ!$B$9),1,0))+IF(L37="",0,IF(LOWER(TRIM(L37))=IF($C37="Б",Ключ!$C$10,Ключ!$B$10),1,0))+IF(M37="",0,IF(LOWER(TRIM(M37))=IF($C37="Б",Ключ!$C$11,Ключ!$B$11),1,0))+IF(N37="",0,IF(LOWER(TRIM(N37))=IF($C37="Б",Ключ!$C$12,Ключ!$B$12),1,0))+IF(O37="",0,IF(LOWER(TRIM(O37))=IF($C37="Б",Ключ!$C$13,Ключ!$B$13),1,0))+IF(P37="",0,IF(LOWER(TRIM(P37))=IF($C37="Б",Ключ!$C$14,Ключ!$B$14),1,0))+IF(Q37="",0,IF(LOWER(TRIM(Q37))=IF($C37="Б",Ключ!$C$15,Ключ!$B$15),1,0)))</f>
        <v/>
      </c>
      <c r="S37" s="3" t="n"/>
      <c r="T37" s="3" t="n"/>
      <c r="U37" s="3" t="n"/>
      <c r="V37" s="3" t="n"/>
      <c r="W37" s="3" t="n"/>
      <c r="X37" s="3" t="n"/>
      <c r="Y37" s="3">
        <f>IF($C37="","",R37+SUM(S37:X37))</f>
        <v/>
      </c>
      <c r="Z37" s="3">
        <f>IF($C37="","",IF(Y37&gt;=15,"да","нет"))</f>
        <v/>
      </c>
      <c r="AA37" s="3">
        <f>IF($C37="","",ROUND(Y37/3,1))</f>
        <v/>
      </c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>
        <f>IF($C38="","",IF(D38="",0,IF(LOWER(TRIM(D38))=IF($C38="Б",Ключ!$C$2,Ключ!$B$2),1,0))+IF(E38="",0,IF(LOWER(TRIM(E38))=IF($C38="Б",Ключ!$C$3,Ключ!$B$3),1,0))+IF(F38="",0,IF(LOWER(TRIM(F38))=IF($C38="Б",Ключ!$C$4,Ключ!$B$4),1,0))+IF(G38="",0,IF(LOWER(TRIM(G38))=IF($C38="Б",Ключ!$C$5,Ключ!$B$5),1,0))+IF(H38="",0,IF(LOWER(TRIM(H38))=IF($C38="Б",Ключ!$C$6,Ключ!$B$6),1,0))+IF(I38="",0,IF(LOWER(TRIM(I38))=IF($C38="Б",Ключ!$C$7,Ключ!$B$7),1,0))+IF(J38="",0,IF(LOWER(TRIM(J38))=IF($C38="Б",Ключ!$C$8,Ключ!$B$8),1,0))+IF(K38="",0,IF(LOWER(TRIM(K38))=IF($C38="Б",Ключ!$C$9,Ключ!$B$9),1,0))+IF(L38="",0,IF(LOWER(TRIM(L38))=IF($C38="Б",Ключ!$C$10,Ключ!$B$10),1,0))+IF(M38="",0,IF(LOWER(TRIM(M38))=IF($C38="Б",Ключ!$C$11,Ключ!$B$11),1,0))+IF(N38="",0,IF(LOWER(TRIM(N38))=IF($C38="Б",Ключ!$C$12,Ключ!$B$12),1,0))+IF(O38="",0,IF(LOWER(TRIM(O38))=IF($C38="Б",Ключ!$C$13,Ключ!$B$13),1,0))+IF(P38="",0,IF(LOWER(TRIM(P38))=IF($C38="Б",Ключ!$C$14,Ключ!$B$14),1,0))+IF(Q38="",0,IF(LOWER(TRIM(Q38))=IF($C38="Б",Ключ!$C$15,Ключ!$B$15),1,0)))</f>
        <v/>
      </c>
      <c r="S38" s="3" t="n"/>
      <c r="T38" s="3" t="n"/>
      <c r="U38" s="3" t="n"/>
      <c r="V38" s="3" t="n"/>
      <c r="W38" s="3" t="n"/>
      <c r="X38" s="3" t="n"/>
      <c r="Y38" s="3">
        <f>IF($C38="","",R38+SUM(S38:X38))</f>
        <v/>
      </c>
      <c r="Z38" s="3">
        <f>IF($C38="","",IF(Y38&gt;=15,"да","нет"))</f>
        <v/>
      </c>
      <c r="AA38" s="3">
        <f>IF($C38="","",ROUND(Y38/3,1))</f>
        <v/>
      </c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>
        <f>IF($C39="","",IF(D39="",0,IF(LOWER(TRIM(D39))=IF($C39="Б",Ключ!$C$2,Ключ!$B$2),1,0))+IF(E39="",0,IF(LOWER(TRIM(E39))=IF($C39="Б",Ключ!$C$3,Ключ!$B$3),1,0))+IF(F39="",0,IF(LOWER(TRIM(F39))=IF($C39="Б",Ключ!$C$4,Ключ!$B$4),1,0))+IF(G39="",0,IF(LOWER(TRIM(G39))=IF($C39="Б",Ключ!$C$5,Ключ!$B$5),1,0))+IF(H39="",0,IF(LOWER(TRIM(H39))=IF($C39="Б",Ключ!$C$6,Ключ!$B$6),1,0))+IF(I39="",0,IF(LOWER(TRIM(I39))=IF($C39="Б",Ключ!$C$7,Ключ!$B$7),1,0))+IF(J39="",0,IF(LOWER(TRIM(J39))=IF($C39="Б",Ключ!$C$8,Ключ!$B$8),1,0))+IF(K39="",0,IF(LOWER(TRIM(K39))=IF($C39="Б",Ключ!$C$9,Ключ!$B$9),1,0))+IF(L39="",0,IF(LOWER(TRIM(L39))=IF($C39="Б",Ключ!$C$10,Ключ!$B$10),1,0))+IF(M39="",0,IF(LOWER(TRIM(M39))=IF($C39="Б",Ключ!$C$11,Ключ!$B$11),1,0))+IF(N39="",0,IF(LOWER(TRIM(N39))=IF($C39="Б",Ключ!$C$12,Ключ!$B$12),1,0))+IF(O39="",0,IF(LOWER(TRIM(O39))=IF($C39="Б",Ключ!$C$13,Ключ!$B$13),1,0))+IF(P39="",0,IF(LOWER(TRIM(P39))=IF($C39="Б",Ключ!$C$14,Ключ!$B$14),1,0))+IF(Q39="",0,IF(LOWER(TRIM(Q39))=IF($C39="Б",Ключ!$C$15,Ключ!$B$15),1,0)))</f>
        <v/>
      </c>
      <c r="S39" s="3" t="n"/>
      <c r="T39" s="3" t="n"/>
      <c r="U39" s="3" t="n"/>
      <c r="V39" s="3" t="n"/>
      <c r="W39" s="3" t="n"/>
      <c r="X39" s="3" t="n"/>
      <c r="Y39" s="3">
        <f>IF($C39="","",R39+SUM(S39:X39))</f>
        <v/>
      </c>
      <c r="Z39" s="3">
        <f>IF($C39="","",IF(Y39&gt;=15,"да","нет"))</f>
        <v/>
      </c>
      <c r="AA39" s="3">
        <f>IF($C39="","",ROUND(Y39/3,1))</f>
        <v/>
      </c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>
        <f>IF($C40="","",IF(D40="",0,IF(LOWER(TRIM(D40))=IF($C40="Б",Ключ!$C$2,Ключ!$B$2),1,0))+IF(E40="",0,IF(LOWER(TRIM(E40))=IF($C40="Б",Ключ!$C$3,Ключ!$B$3),1,0))+IF(F40="",0,IF(LOWER(TRIM(F40))=IF($C40="Б",Ключ!$C$4,Ключ!$B$4),1,0))+IF(G40="",0,IF(LOWER(TRIM(G40))=IF($C40="Б",Ключ!$C$5,Ключ!$B$5),1,0))+IF(H40="",0,IF(LOWER(TRIM(H40))=IF($C40="Б",Ключ!$C$6,Ключ!$B$6),1,0))+IF(I40="",0,IF(LOWER(TRIM(I40))=IF($C40="Б",Ключ!$C$7,Ключ!$B$7),1,0))+IF(J40="",0,IF(LOWER(TRIM(J40))=IF($C40="Б",Ключ!$C$8,Ключ!$B$8),1,0))+IF(K40="",0,IF(LOWER(TRIM(K40))=IF($C40="Б",Ключ!$C$9,Ключ!$B$9),1,0))+IF(L40="",0,IF(LOWER(TRIM(L40))=IF($C40="Б",Ключ!$C$10,Ключ!$B$10),1,0))+IF(M40="",0,IF(LOWER(TRIM(M40))=IF($C40="Б",Ключ!$C$11,Ключ!$B$11),1,0))+IF(N40="",0,IF(LOWER(TRIM(N40))=IF($C40="Б",Ключ!$C$12,Ключ!$B$12),1,0))+IF(O40="",0,IF(LOWER(TRIM(O40))=IF($C40="Б",Ключ!$C$13,Ключ!$B$13),1,0))+IF(P40="",0,IF(LOWER(TRIM(P40))=IF($C40="Б",Ключ!$C$14,Ключ!$B$14),1,0))+IF(Q40="",0,IF(LOWER(TRIM(Q40))=IF($C40="Б",Ключ!$C$15,Ключ!$B$15),1,0)))</f>
        <v/>
      </c>
      <c r="S40" s="3" t="n"/>
      <c r="T40" s="3" t="n"/>
      <c r="U40" s="3" t="n"/>
      <c r="V40" s="3" t="n"/>
      <c r="W40" s="3" t="n"/>
      <c r="X40" s="3" t="n"/>
      <c r="Y40" s="3">
        <f>IF($C40="","",R40+SUM(S40:X40))</f>
        <v/>
      </c>
      <c r="Z40" s="3">
        <f>IF($C40="","",IF(Y40&gt;=15,"да","нет"))</f>
        <v/>
      </c>
      <c r="AA40" s="3">
        <f>IF($C40="","",ROUND(Y40/3,1))</f>
        <v/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>
        <f>IF($C41="","",IF(D41="",0,IF(LOWER(TRIM(D41))=IF($C41="Б",Ключ!$C$2,Ключ!$B$2),1,0))+IF(E41="",0,IF(LOWER(TRIM(E41))=IF($C41="Б",Ключ!$C$3,Ключ!$B$3),1,0))+IF(F41="",0,IF(LOWER(TRIM(F41))=IF($C41="Б",Ключ!$C$4,Ключ!$B$4),1,0))+IF(G41="",0,IF(LOWER(TRIM(G41))=IF($C41="Б",Ключ!$C$5,Ключ!$B$5),1,0))+IF(H41="",0,IF(LOWER(TRIM(H41))=IF($C41="Б",Ключ!$C$6,Ключ!$B$6),1,0))+IF(I41="",0,IF(LOWER(TRIM(I41))=IF($C41="Б",Ключ!$C$7,Ключ!$B$7),1,0))+IF(J41="",0,IF(LOWER(TRIM(J41))=IF($C41="Б",Ключ!$C$8,Ключ!$B$8),1,0))+IF(K41="",0,IF(LOWER(TRIM(K41))=IF($C41="Б",Ключ!$C$9,Ключ!$B$9),1,0))+IF(L41="",0,IF(LOWER(TRIM(L41))=IF($C41="Б",Ключ!$C$10,Ключ!$B$10),1,0))+IF(M41="",0,IF(LOWER(TRIM(M41))=IF($C41="Б",Ключ!$C$11,Ключ!$B$11),1,0))+IF(N41="",0,IF(LOWER(TRIM(N41))=IF($C41="Б",Ключ!$C$12,Ключ!$B$12),1,0))+IF(O41="",0,IF(LOWER(TRIM(O41))=IF($C41="Б",Ключ!$C$13,Ключ!$B$13),1,0))+IF(P41="",0,IF(LOWER(TRIM(P41))=IF($C41="Б",Ключ!$C$14,Ключ!$B$14),1,0))+IF(Q41="",0,IF(LOWER(TRIM(Q41))=IF($C41="Б",Ключ!$C$15,Ключ!$B$15),1,0)))</f>
        <v/>
      </c>
      <c r="S41" s="3" t="n"/>
      <c r="T41" s="3" t="n"/>
      <c r="U41" s="3" t="n"/>
      <c r="V41" s="3" t="n"/>
      <c r="W41" s="3" t="n"/>
      <c r="X41" s="3" t="n"/>
      <c r="Y41" s="3">
        <f>IF($C41="","",R41+SUM(S41:X41))</f>
        <v/>
      </c>
      <c r="Z41" s="3">
        <f>IF($C41="","",IF(Y41&gt;=15,"да","нет"))</f>
        <v/>
      </c>
      <c r="AA41" s="3">
        <f>IF($C41="","",ROUND(Y41/3,1))</f>
        <v/>
      </c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>
        <f>IF($C42="","",IF(D42="",0,IF(LOWER(TRIM(D42))=IF($C42="Б",Ключ!$C$2,Ключ!$B$2),1,0))+IF(E42="",0,IF(LOWER(TRIM(E42))=IF($C42="Б",Ключ!$C$3,Ключ!$B$3),1,0))+IF(F42="",0,IF(LOWER(TRIM(F42))=IF($C42="Б",Ключ!$C$4,Ключ!$B$4),1,0))+IF(G42="",0,IF(LOWER(TRIM(G42))=IF($C42="Б",Ключ!$C$5,Ключ!$B$5),1,0))+IF(H42="",0,IF(LOWER(TRIM(H42))=IF($C42="Б",Ключ!$C$6,Ключ!$B$6),1,0))+IF(I42="",0,IF(LOWER(TRIM(I42))=IF($C42="Б",Ключ!$C$7,Ключ!$B$7),1,0))+IF(J42="",0,IF(LOWER(TRIM(J42))=IF($C42="Б",Ключ!$C$8,Ключ!$B$8),1,0))+IF(K42="",0,IF(LOWER(TRIM(K42))=IF($C42="Б",Ключ!$C$9,Ключ!$B$9),1,0))+IF(L42="",0,IF(LOWER(TRIM(L42))=IF($C42="Б",Ключ!$C$10,Ключ!$B$10),1,0))+IF(M42="",0,IF(LOWER(TRIM(M42))=IF($C42="Б",Ключ!$C$11,Ключ!$B$11),1,0))+IF(N42="",0,IF(LOWER(TRIM(N42))=IF($C42="Б",Ключ!$C$12,Ключ!$B$12),1,0))+IF(O42="",0,IF(LOWER(TRIM(O42))=IF($C42="Б",Ключ!$C$13,Ключ!$B$13),1,0))+IF(P42="",0,IF(LOWER(TRIM(P42))=IF($C42="Б",Ключ!$C$14,Ключ!$B$14),1,0))+IF(Q42="",0,IF(LOWER(TRIM(Q42))=IF($C42="Б",Ключ!$C$15,Ключ!$B$15),1,0)))</f>
        <v/>
      </c>
      <c r="S42" s="3" t="n"/>
      <c r="T42" s="3" t="n"/>
      <c r="U42" s="3" t="n"/>
      <c r="V42" s="3" t="n"/>
      <c r="W42" s="3" t="n"/>
      <c r="X42" s="3" t="n"/>
      <c r="Y42" s="3">
        <f>IF($C42="","",R42+SUM(S42:X42))</f>
        <v/>
      </c>
      <c r="Z42" s="3">
        <f>IF($C42="","",IF(Y42&gt;=15,"да","нет"))</f>
        <v/>
      </c>
      <c r="AA42" s="3">
        <f>IF($C42="","",ROUND(Y42/3,1))</f>
        <v/>
      </c>
    </row>
    <row r="44">
      <c r="A44" s="1" t="inlineStr">
        <is>
          <t>Доля верных ответов по вопросу (для разбора на следующей паре)</t>
        </is>
      </c>
    </row>
    <row r="45">
      <c r="D45" s="4">
        <f>IFERROR((SUMPRODUCT(($C$3:$C$42="А")*(LOWER(TRIM(D3:D42))=Ключ!$B$2))+SUMPRODUCT(($C$3:$C$42="Б")*(LOWER(TRIM(D3:D42))=Ключ!$C$2)))/COUNTA($C$3:$C$42),"")</f>
        <v/>
      </c>
      <c r="E45" s="4">
        <f>IFERROR((SUMPRODUCT(($C$3:$C$42="А")*(LOWER(TRIM(E3:E42))=Ключ!$B$3))+SUMPRODUCT(($C$3:$C$42="Б")*(LOWER(TRIM(E3:E42))=Ключ!$C$3)))/COUNTA($C$3:$C$42),"")</f>
        <v/>
      </c>
      <c r="F45" s="4">
        <f>IFERROR((SUMPRODUCT(($C$3:$C$42="А")*(LOWER(TRIM(F3:F42))=Ключ!$B$4))+SUMPRODUCT(($C$3:$C$42="Б")*(LOWER(TRIM(F3:F42))=Ключ!$C$4)))/COUNTA($C$3:$C$42),"")</f>
        <v/>
      </c>
      <c r="G45" s="4">
        <f>IFERROR((SUMPRODUCT(($C$3:$C$42="А")*(LOWER(TRIM(G3:G42))=Ключ!$B$5))+SUMPRODUCT(($C$3:$C$42="Б")*(LOWER(TRIM(G3:G42))=Ключ!$C$5)))/COUNTA($C$3:$C$42),"")</f>
        <v/>
      </c>
      <c r="H45" s="4">
        <f>IFERROR((SUMPRODUCT(($C$3:$C$42="А")*(LOWER(TRIM(H3:H42))=Ключ!$B$6))+SUMPRODUCT(($C$3:$C$42="Б")*(LOWER(TRIM(H3:H42))=Ключ!$C$6)))/COUNTA($C$3:$C$42),"")</f>
        <v/>
      </c>
      <c r="I45" s="4">
        <f>IFERROR((SUMPRODUCT(($C$3:$C$42="А")*(LOWER(TRIM(I3:I42))=Ключ!$B$7))+SUMPRODUCT(($C$3:$C$42="Б")*(LOWER(TRIM(I3:I42))=Ключ!$C$7)))/COUNTA($C$3:$C$42),"")</f>
        <v/>
      </c>
      <c r="J45" s="4">
        <f>IFERROR((SUMPRODUCT(($C$3:$C$42="А")*(LOWER(TRIM(J3:J42))=Ключ!$B$8))+SUMPRODUCT(($C$3:$C$42="Б")*(LOWER(TRIM(J3:J42))=Ключ!$C$8)))/COUNTA($C$3:$C$42),"")</f>
        <v/>
      </c>
      <c r="K45" s="4">
        <f>IFERROR((SUMPRODUCT(($C$3:$C$42="А")*(LOWER(TRIM(K3:K42))=Ключ!$B$9))+SUMPRODUCT(($C$3:$C$42="Б")*(LOWER(TRIM(K3:K42))=Ключ!$C$9)))/COUNTA($C$3:$C$42),"")</f>
        <v/>
      </c>
      <c r="L45" s="4">
        <f>IFERROR((SUMPRODUCT(($C$3:$C$42="А")*(LOWER(TRIM(L3:L42))=Ключ!$B$10))+SUMPRODUCT(($C$3:$C$42="Б")*(LOWER(TRIM(L3:L42))=Ключ!$C$10)))/COUNTA($C$3:$C$42),"")</f>
        <v/>
      </c>
      <c r="M45" s="4">
        <f>IFERROR((SUMPRODUCT(($C$3:$C$42="А")*(LOWER(TRIM(M3:M42))=Ключ!$B$11))+SUMPRODUCT(($C$3:$C$42="Б")*(LOWER(TRIM(M3:M42))=Ключ!$C$11)))/COUNTA($C$3:$C$42),"")</f>
        <v/>
      </c>
      <c r="N45" s="4">
        <f>IFERROR((SUMPRODUCT(($C$3:$C$42="А")*(LOWER(TRIM(N3:N42))=Ключ!$B$12))+SUMPRODUCT(($C$3:$C$42="Б")*(LOWER(TRIM(N3:N42))=Ключ!$C$12)))/COUNTA($C$3:$C$42),"")</f>
        <v/>
      </c>
      <c r="O45" s="4">
        <f>IFERROR((SUMPRODUCT(($C$3:$C$42="А")*(LOWER(TRIM(O3:O42))=Ключ!$B$13))+SUMPRODUCT(($C$3:$C$42="Б")*(LOWER(TRIM(O3:O42))=Ключ!$C$13)))/COUNTA($C$3:$C$42),"")</f>
        <v/>
      </c>
      <c r="P45" s="4">
        <f>IFERROR((SUMPRODUCT(($C$3:$C$42="А")*(LOWER(TRIM(P3:P42))=Ключ!$B$14))+SUMPRODUCT(($C$3:$C$42="Б")*(LOWER(TRIM(P3:P42))=Ключ!$C$14)))/COUNTA($C$3:$C$42),"")</f>
        <v/>
      </c>
      <c r="Q45" s="4">
        <f>IFERROR((SUMPRODUCT(($C$3:$C$42="А")*(LOWER(TRIM(Q3:Q42))=Ключ!$B$15))+SUMPRODUCT(($C$3:$C$42="Б")*(LOWER(TRIM(Q3:Q42))=Ключ!$C$15)))/COUNTA($C$3:$C$42),"")</f>
        <v/>
      </c>
      <c r="S45" s="5">
        <f>IFERROR(AVERAGE(S3:S42),"")</f>
        <v/>
      </c>
      <c r="T45" s="5">
        <f>IFERROR(AVERAGE(T3:T42),"")</f>
        <v/>
      </c>
      <c r="U45" s="5">
        <f>IFERROR(AVERAGE(U3:U42),"")</f>
        <v/>
      </c>
      <c r="V45" s="5">
        <f>IFERROR(AVERAGE(V3:V42),"")</f>
        <v/>
      </c>
      <c r="W45" s="5">
        <f>IFERROR(AVERAGE(W3:W42),"")</f>
        <v/>
      </c>
      <c r="X45" s="5">
        <f>IFERROR(AVERAGE(X3:X42),"")</f>
        <v/>
      </c>
    </row>
    <row r="46">
      <c r="S46" t="inlineStr">
        <is>
          <t>← средний балл</t>
        </is>
      </c>
    </row>
  </sheetData>
  <conditionalFormatting sqref="D3:D42">
    <cfRule type="expression" priority="1" dxfId="0">
      <formula>AND(D3&lt;&gt;"",$C3&lt;&gt;"",LOWER(TRIM(D3))&lt;&gt;IF($C3="Б",Ключ!$C$2,Ключ!$B$2))</formula>
    </cfRule>
  </conditionalFormatting>
  <conditionalFormatting sqref="E3:E42">
    <cfRule type="expression" priority="2" dxfId="0">
      <formula>AND(E3&lt;&gt;"",$C3&lt;&gt;"",LOWER(TRIM(E3))&lt;&gt;IF($C3="Б",Ключ!$C$3,Ключ!$B$3))</formula>
    </cfRule>
  </conditionalFormatting>
  <conditionalFormatting sqref="F3:F42">
    <cfRule type="expression" priority="3" dxfId="0">
      <formula>AND(F3&lt;&gt;"",$C3&lt;&gt;"",LOWER(TRIM(F3))&lt;&gt;IF($C3="Б",Ключ!$C$4,Ключ!$B$4))</formula>
    </cfRule>
  </conditionalFormatting>
  <conditionalFormatting sqref="G3:G42">
    <cfRule type="expression" priority="4" dxfId="0">
      <formula>AND(G3&lt;&gt;"",$C3&lt;&gt;"",LOWER(TRIM(G3))&lt;&gt;IF($C3="Б",Ключ!$C$5,Ключ!$B$5))</formula>
    </cfRule>
  </conditionalFormatting>
  <conditionalFormatting sqref="H3:H42">
    <cfRule type="expression" priority="5" dxfId="0">
      <formula>AND(H3&lt;&gt;"",$C3&lt;&gt;"",LOWER(TRIM(H3))&lt;&gt;IF($C3="Б",Ключ!$C$6,Ключ!$B$6))</formula>
    </cfRule>
  </conditionalFormatting>
  <conditionalFormatting sqref="I3:I42">
    <cfRule type="expression" priority="6" dxfId="0">
      <formula>AND(I3&lt;&gt;"",$C3&lt;&gt;"",LOWER(TRIM(I3))&lt;&gt;IF($C3="Б",Ключ!$C$7,Ключ!$B$7))</formula>
    </cfRule>
  </conditionalFormatting>
  <conditionalFormatting sqref="J3:J42">
    <cfRule type="expression" priority="7" dxfId="0">
      <formula>AND(J3&lt;&gt;"",$C3&lt;&gt;"",LOWER(TRIM(J3))&lt;&gt;IF($C3="Б",Ключ!$C$8,Ключ!$B$8))</formula>
    </cfRule>
  </conditionalFormatting>
  <conditionalFormatting sqref="K3:K42">
    <cfRule type="expression" priority="8" dxfId="0">
      <formula>AND(K3&lt;&gt;"",$C3&lt;&gt;"",LOWER(TRIM(K3))&lt;&gt;IF($C3="Б",Ключ!$C$9,Ключ!$B$9))</formula>
    </cfRule>
  </conditionalFormatting>
  <conditionalFormatting sqref="L3:L42">
    <cfRule type="expression" priority="9" dxfId="0">
      <formula>AND(L3&lt;&gt;"",$C3&lt;&gt;"",LOWER(TRIM(L3))&lt;&gt;IF($C3="Б",Ключ!$C$10,Ключ!$B$10))</formula>
    </cfRule>
  </conditionalFormatting>
  <conditionalFormatting sqref="M3:M42">
    <cfRule type="expression" priority="10" dxfId="0">
      <formula>AND(M3&lt;&gt;"",$C3&lt;&gt;"",LOWER(TRIM(M3))&lt;&gt;IF($C3="Б",Ключ!$C$11,Ключ!$B$11))</formula>
    </cfRule>
  </conditionalFormatting>
  <conditionalFormatting sqref="N3:N42">
    <cfRule type="expression" priority="11" dxfId="0">
      <formula>AND(N3&lt;&gt;"",$C3&lt;&gt;"",LOWER(TRIM(N3))&lt;&gt;IF($C3="Б",Ключ!$C$12,Ключ!$B$12))</formula>
    </cfRule>
  </conditionalFormatting>
  <conditionalFormatting sqref="O3:O42">
    <cfRule type="expression" priority="12" dxfId="0">
      <formula>AND(O3&lt;&gt;"",$C3&lt;&gt;"",LOWER(TRIM(O3))&lt;&gt;IF($C3="Б",Ключ!$C$13,Ключ!$B$13))</formula>
    </cfRule>
  </conditionalFormatting>
  <conditionalFormatting sqref="P3:P42">
    <cfRule type="expression" priority="13" dxfId="0">
      <formula>AND(P3&lt;&gt;"",$C3&lt;&gt;"",LOWER(TRIM(P3))&lt;&gt;IF($C3="Б",Ключ!$C$14,Ключ!$B$14))</formula>
    </cfRule>
  </conditionalFormatting>
  <conditionalFormatting sqref="Q3:Q42">
    <cfRule type="expression" priority="14" dxfId="0">
      <formula>AND(Q3&lt;&gt;"",$C3&lt;&gt;"",LOWER(TRIM(Q3))&lt;&gt;IF($C3="Б",Ключ!$C$15,Ключ!$B$15))</formula>
    </cfRule>
  </conditionalFormatting>
  <conditionalFormatting sqref="Z3:Z42">
    <cfRule type="cellIs" priority="15" operator="equal" dxfId="1">
      <formula>"нет"</formula>
    </cfRule>
  </conditionalFormatting>
  <dataValidations count="8">
    <dataValidation sqref="C3:C42" showDropDown="0" showInputMessage="0" showErrorMessage="0" allowBlank="1" type="list">
      <formula1>"А,Б"</formula1>
    </dataValidation>
    <dataValidation sqref="D3:Q42" showDropDown="0" showInputMessage="0" showErrorMessage="0" allowBlank="1" type="list">
      <formula1>"а,б,в,г"</formula1>
    </dataValidation>
    <dataValidation sqref="S3:S42" showDropDown="0" showInputMessage="0" showErrorMessage="0" allowBlank="1" type="whole" operator="between">
      <formula1>0</formula1>
      <formula2>5</formula2>
    </dataValidation>
    <dataValidation sqref="T3:T42" showDropDown="0" showInputMessage="0" showErrorMessage="0" allowBlank="1" type="whole" operator="between">
      <formula1>0</formula1>
      <formula2>2</formula2>
    </dataValidation>
    <dataValidation sqref="U3:U42" showDropDown="0" showInputMessage="0" showErrorMessage="0" allowBlank="1" type="whole" operator="between">
      <formula1>0</formula1>
      <formula2>2</formula2>
    </dataValidation>
    <dataValidation sqref="V3:V42" showDropDown="0" showInputMessage="0" showErrorMessage="0" allowBlank="1" type="whole" operator="between">
      <formula1>0</formula1>
      <formula2>3</formula2>
    </dataValidation>
    <dataValidation sqref="W3:W42" showDropDown="0" showInputMessage="0" showErrorMessage="0" allowBlank="1" type="whole" operator="between">
      <formula1>0</formula1>
      <formula2>2</formula2>
    </dataValidation>
    <dataValidation sqref="X3:X42" showDropDown="0" showInputMessage="0" showErrorMessage="0" allowBlank="1" type="whole" operator="between">
      <formula1>0</formula1>
      <formula2>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Вопрос</t>
        </is>
      </c>
      <c r="B1" s="1" t="inlineStr">
        <is>
          <t>Вариант А</t>
        </is>
      </c>
      <c r="C1" s="1" t="inlineStr">
        <is>
          <t>Вариант Б</t>
        </is>
      </c>
    </row>
    <row r="2">
      <c r="A2" t="n">
        <v>1</v>
      </c>
      <c r="B2" t="inlineStr">
        <is>
          <t>б</t>
        </is>
      </c>
      <c r="C2" t="inlineStr">
        <is>
          <t>а</t>
        </is>
      </c>
    </row>
    <row r="3">
      <c r="A3" t="n">
        <v>2</v>
      </c>
      <c r="B3" t="inlineStr">
        <is>
          <t>а</t>
        </is>
      </c>
      <c r="C3" t="inlineStr">
        <is>
          <t>а</t>
        </is>
      </c>
    </row>
    <row r="4">
      <c r="A4" t="n">
        <v>3</v>
      </c>
      <c r="B4" t="inlineStr">
        <is>
          <t>в</t>
        </is>
      </c>
      <c r="C4" t="inlineStr">
        <is>
          <t>г</t>
        </is>
      </c>
    </row>
    <row r="5">
      <c r="A5" t="n">
        <v>4</v>
      </c>
      <c r="B5" t="inlineStr">
        <is>
          <t>г</t>
        </is>
      </c>
      <c r="C5" t="inlineStr">
        <is>
          <t>г</t>
        </is>
      </c>
    </row>
    <row r="6">
      <c r="A6" t="n">
        <v>5</v>
      </c>
      <c r="B6" t="inlineStr">
        <is>
          <t>а</t>
        </is>
      </c>
      <c r="C6" t="inlineStr">
        <is>
          <t>г</t>
        </is>
      </c>
    </row>
    <row r="7">
      <c r="A7" t="n">
        <v>6</v>
      </c>
      <c r="B7" t="inlineStr">
        <is>
          <t>в</t>
        </is>
      </c>
      <c r="C7" t="inlineStr">
        <is>
          <t>б</t>
        </is>
      </c>
    </row>
    <row r="8">
      <c r="A8" t="n">
        <v>7</v>
      </c>
      <c r="B8" t="inlineStr">
        <is>
          <t>б</t>
        </is>
      </c>
      <c r="C8" t="inlineStr">
        <is>
          <t>б</t>
        </is>
      </c>
    </row>
    <row r="9">
      <c r="A9" t="n">
        <v>8</v>
      </c>
      <c r="B9" t="inlineStr">
        <is>
          <t>г</t>
        </is>
      </c>
      <c r="C9" t="inlineStr">
        <is>
          <t>а</t>
        </is>
      </c>
    </row>
    <row r="10">
      <c r="A10" t="n">
        <v>9</v>
      </c>
      <c r="B10" t="inlineStr">
        <is>
          <t>а</t>
        </is>
      </c>
      <c r="C10" t="inlineStr">
        <is>
          <t>в</t>
        </is>
      </c>
    </row>
    <row r="11">
      <c r="A11" t="n">
        <v>10</v>
      </c>
      <c r="B11" t="inlineStr">
        <is>
          <t>б</t>
        </is>
      </c>
      <c r="C11" t="inlineStr">
        <is>
          <t>в</t>
        </is>
      </c>
    </row>
    <row r="12">
      <c r="A12" t="n">
        <v>11</v>
      </c>
      <c r="B12" t="inlineStr">
        <is>
          <t>в</t>
        </is>
      </c>
      <c r="C12" t="inlineStr">
        <is>
          <t>г</t>
        </is>
      </c>
    </row>
    <row r="13">
      <c r="A13" t="n">
        <v>12</v>
      </c>
      <c r="B13" t="inlineStr">
        <is>
          <t>г</t>
        </is>
      </c>
      <c r="C13" t="inlineStr">
        <is>
          <t>в</t>
        </is>
      </c>
    </row>
    <row r="14">
      <c r="A14" t="n">
        <v>13</v>
      </c>
      <c r="B14" t="inlineStr">
        <is>
          <t>б</t>
        </is>
      </c>
      <c r="C14" t="inlineStr">
        <is>
          <t>б</t>
        </is>
      </c>
    </row>
    <row r="15">
      <c r="A15" t="n">
        <v>14</v>
      </c>
      <c r="B15" t="inlineStr">
        <is>
          <t>а</t>
        </is>
      </c>
      <c r="C15" t="inlineStr">
        <is>
          <t>в</t>
        </is>
      </c>
    </row>
    <row r="17">
      <c r="A17" t="inlineStr">
        <is>
          <t>15 SMART</t>
        </is>
      </c>
      <c r="B17" t="inlineStr">
        <is>
          <t>T, M, A, R, S</t>
        </is>
      </c>
      <c r="C17" t="inlineStr">
        <is>
          <t>S, A, T, R, M</t>
        </is>
      </c>
    </row>
    <row r="18">
      <c r="A18" t="inlineStr">
        <is>
          <t>16 источники</t>
        </is>
      </c>
      <c r="B18" t="inlineStr">
        <is>
          <t>а, б, г, д</t>
        </is>
      </c>
      <c r="C18" t="inlineStr">
        <is>
          <t>а, в, г, е</t>
        </is>
      </c>
    </row>
    <row r="19">
      <c r="A19" t="inlineStr">
        <is>
          <t>17 порядок</t>
        </is>
      </c>
      <c r="B19" t="inlineStr">
        <is>
          <t>3, 2, 5, 1, 4</t>
        </is>
      </c>
      <c r="C19" t="inlineStr">
        <is>
          <t>4, 1, 3, 5, 2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2026-10-16T22:02:40Z</dcterms:created>
  <dcterms:modified xsi:type="dcterms:W3CDTF">2026-10-16T22:02:52Z</dcterms:modified>
</cp:coreProperties>
</file>